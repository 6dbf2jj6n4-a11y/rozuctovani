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LIENT" sheetId="1" r:id="rId5"/>
    <sheet state="visible" name="ELEKTRO" sheetId="2" r:id="rId6"/>
    <sheet state="visible" name="VODA" sheetId="3" r:id="rId7"/>
    <sheet state="visible" name="TEPLO" sheetId="4" r:id="rId8"/>
    <sheet state="visible" name="Odpovědi formuláře 1" sheetId="5" r:id="rId9"/>
  </sheets>
  <definedNames/>
  <calcPr/>
</workbook>
</file>

<file path=xl/sharedStrings.xml><?xml version="1.0" encoding="utf-8"?>
<sst xmlns="http://schemas.openxmlformats.org/spreadsheetml/2006/main" count="501" uniqueCount="232">
  <si>
    <t>PČ</t>
  </si>
  <si>
    <t>2025</t>
  </si>
  <si>
    <t>2026</t>
  </si>
  <si>
    <t>Artalo design s. r. o.</t>
  </si>
  <si>
    <t>CarTune Stereo s.r.o.</t>
  </si>
  <si>
    <t>Candee Candles, s.r.o.</t>
  </si>
  <si>
    <t>CSE</t>
  </si>
  <si>
    <t>Dalibor HOLUB</t>
  </si>
  <si>
    <t>STAVY</t>
  </si>
  <si>
    <t>KLIENT</t>
  </si>
  <si>
    <t>Poznámka</t>
  </si>
  <si>
    <t>Fitclub Cross Body MT s. r. o.</t>
  </si>
  <si>
    <t>Jedn.</t>
  </si>
  <si>
    <t>1. 1. 2026</t>
  </si>
  <si>
    <t>1. 2. 2026</t>
  </si>
  <si>
    <t>GENERAL ARMY spol. s r. o.</t>
  </si>
  <si>
    <t>1. 3. 2026</t>
  </si>
  <si>
    <t>1. 4. 2026</t>
  </si>
  <si>
    <t>1. 5. 2026</t>
  </si>
  <si>
    <t>1. 6. 2026</t>
  </si>
  <si>
    <t>1. 7. 2026</t>
  </si>
  <si>
    <t>1. 8. 2026</t>
  </si>
  <si>
    <t>Ing. Roman CHAMRAD - SHIVA SHOP</t>
  </si>
  <si>
    <t>1. 9. 2026</t>
  </si>
  <si>
    <t>1. 10. 2026</t>
  </si>
  <si>
    <t>1. 11. 2026</t>
  </si>
  <si>
    <t>T_A1S</t>
  </si>
  <si>
    <t>1. 12. 2026</t>
  </si>
  <si>
    <t>1. 1. 2027</t>
  </si>
  <si>
    <t>výpočet</t>
  </si>
  <si>
    <t>rozúčtováno dle m2</t>
  </si>
  <si>
    <t>Kyslík pro život, s. r. o.</t>
  </si>
  <si>
    <t>kWh</t>
  </si>
  <si>
    <t>E_A1</t>
  </si>
  <si>
    <t>W_A1</t>
  </si>
  <si>
    <t>Leoš DUDA</t>
  </si>
  <si>
    <t>Duda - Holub</t>
  </si>
  <si>
    <t>admin. budova</t>
  </si>
  <si>
    <t>m3</t>
  </si>
  <si>
    <t>LogicVision s. r. o.</t>
  </si>
  <si>
    <t>T_A2J</t>
  </si>
  <si>
    <t>MAR-COMPLEX s.r.o.</t>
  </si>
  <si>
    <t>MEON EMS FM, s. r. o.</t>
  </si>
  <si>
    <t>T_A3</t>
  </si>
  <si>
    <t>Milan BOLGÁČ</t>
  </si>
  <si>
    <t>W_B1</t>
  </si>
  <si>
    <t>moravec+holub</t>
  </si>
  <si>
    <t>E_A2</t>
  </si>
  <si>
    <t>Milan ŠPRC</t>
  </si>
  <si>
    <t>T_A4</t>
  </si>
  <si>
    <t>Moravec Enterprises s. r. o.</t>
  </si>
  <si>
    <t>Natálie Žáková</t>
  </si>
  <si>
    <t>nepřiřazeno</t>
  </si>
  <si>
    <t>NINETY5 s. r. o.</t>
  </si>
  <si>
    <t>W_B2</t>
  </si>
  <si>
    <t>T_B1</t>
  </si>
  <si>
    <t>voda hala B (neaktivní)</t>
  </si>
  <si>
    <t>NORVITT ENGINEERING, spol. s r. o.</t>
  </si>
  <si>
    <t>E_A3</t>
  </si>
  <si>
    <t>Outdoor Colours, s. r. o.</t>
  </si>
  <si>
    <t>T_B2</t>
  </si>
  <si>
    <t>PTÁČEK-velkoobchod, a.s</t>
  </si>
  <si>
    <t>IC</t>
  </si>
  <si>
    <t>PELUS automation machines s.r.o.</t>
  </si>
  <si>
    <t>PROJEKTY STATIKA s. r. o.</t>
  </si>
  <si>
    <t>W_B3</t>
  </si>
  <si>
    <t>T_B3</t>
  </si>
  <si>
    <t>Robert KALETA</t>
  </si>
  <si>
    <t>T_B3A</t>
  </si>
  <si>
    <t>E_A4</t>
  </si>
  <si>
    <t>TENAUR, s. r. o.</t>
  </si>
  <si>
    <t>Kanceláře</t>
  </si>
  <si>
    <t>Studio Proměna</t>
  </si>
  <si>
    <t>W_D1</t>
  </si>
  <si>
    <t>společná spotřeba</t>
  </si>
  <si>
    <t>Artalo + TŠ</t>
  </si>
  <si>
    <t>T_D1</t>
  </si>
  <si>
    <t>Studio Proměna s. r. o.</t>
  </si>
  <si>
    <t>TŠ JUST DANCE</t>
  </si>
  <si>
    <t>rozúčtováno Artalo/Just Dance</t>
  </si>
  <si>
    <t>Taneční skupina Aktiv z.s.</t>
  </si>
  <si>
    <t>W_E1</t>
  </si>
  <si>
    <t>T_F1</t>
  </si>
  <si>
    <t>sociálky</t>
  </si>
  <si>
    <t>VLAMON s. r. o.</t>
  </si>
  <si>
    <t>E_A4KLIMA</t>
  </si>
  <si>
    <t>T_F2</t>
  </si>
  <si>
    <t>klima - MARCOMPLEX/Artalo/Projekt</t>
  </si>
  <si>
    <t>VODAMA</t>
  </si>
  <si>
    <t>Vodama technology s.r.o.</t>
  </si>
  <si>
    <t>W_F2</t>
  </si>
  <si>
    <t>T_O1</t>
  </si>
  <si>
    <t>T_O2</t>
  </si>
  <si>
    <t>E_A5</t>
  </si>
  <si>
    <t>TENAUR/LOGIC</t>
  </si>
  <si>
    <t>W_H1</t>
  </si>
  <si>
    <t>T_O3</t>
  </si>
  <si>
    <t>slimfit</t>
  </si>
  <si>
    <t>W_H2</t>
  </si>
  <si>
    <t>nepoužito</t>
  </si>
  <si>
    <t>T_O4</t>
  </si>
  <si>
    <t>E_A6</t>
  </si>
  <si>
    <t>T_O5</t>
  </si>
  <si>
    <t>W_N1</t>
  </si>
  <si>
    <t>Kaleta/CSE/Logicvision/Vlamon/Tenaur</t>
  </si>
  <si>
    <t>T_O6</t>
  </si>
  <si>
    <t>rozúčtováno CSE/Kaleta/Contours/Vlamon/Logic</t>
  </si>
  <si>
    <t>W_O1</t>
  </si>
  <si>
    <t>E_A7</t>
  </si>
  <si>
    <t>T_S1E1</t>
  </si>
  <si>
    <t>T_T1</t>
  </si>
  <si>
    <t>W_O3</t>
  </si>
  <si>
    <t>T_M1</t>
  </si>
  <si>
    <t>E_A8</t>
  </si>
  <si>
    <t>vrátnice</t>
  </si>
  <si>
    <t>T_L1</t>
  </si>
  <si>
    <t>Logic/Artalo</t>
  </si>
  <si>
    <t>W_O4</t>
  </si>
  <si>
    <t>T_TUV</t>
  </si>
  <si>
    <t>E_A9</t>
  </si>
  <si>
    <t>rozúčtováno dle osob, stav??</t>
  </si>
  <si>
    <t>W_T1</t>
  </si>
  <si>
    <t>veřejné osvětlení</t>
  </si>
  <si>
    <t>GJ</t>
  </si>
  <si>
    <t>hala T</t>
  </si>
  <si>
    <t>W_TUV</t>
  </si>
  <si>
    <t>T_CELKEM</t>
  </si>
  <si>
    <t>rozúčtováno dle osob</t>
  </si>
  <si>
    <t>E_B1</t>
  </si>
  <si>
    <t>bývalé cacadoo</t>
  </si>
  <si>
    <t>W_CELKEM</t>
  </si>
  <si>
    <t>celková spotřeba</t>
  </si>
  <si>
    <t>E_B2</t>
  </si>
  <si>
    <t>SPOTŘEBY</t>
  </si>
  <si>
    <t>Koef</t>
  </si>
  <si>
    <t>ledna</t>
  </si>
  <si>
    <t>února</t>
  </si>
  <si>
    <t>března</t>
  </si>
  <si>
    <t>dubna</t>
  </si>
  <si>
    <t>května</t>
  </si>
  <si>
    <t>srpna</t>
  </si>
  <si>
    <t>července</t>
  </si>
  <si>
    <t>srpna 2</t>
  </si>
  <si>
    <t>září</t>
  </si>
  <si>
    <t>října</t>
  </si>
  <si>
    <t>listopadu</t>
  </si>
  <si>
    <t>prosince</t>
  </si>
  <si>
    <t>E_B3</t>
  </si>
  <si>
    <t>Odečet</t>
  </si>
  <si>
    <t>června</t>
  </si>
  <si>
    <t>E_B3A</t>
  </si>
  <si>
    <t>E_B4</t>
  </si>
  <si>
    <t>E_B5</t>
  </si>
  <si>
    <t>Sklad obalů</t>
  </si>
  <si>
    <t>E_B5A</t>
  </si>
  <si>
    <t>E_B6</t>
  </si>
  <si>
    <t>tš justdance? kolik účtovat</t>
  </si>
  <si>
    <t>E_D1</t>
  </si>
  <si>
    <t>1NP</t>
  </si>
  <si>
    <t>E_D2</t>
  </si>
  <si>
    <t>2NP</t>
  </si>
  <si>
    <t>E_D3</t>
  </si>
  <si>
    <t>3NP</t>
  </si>
  <si>
    <t>pozor výpočet</t>
  </si>
  <si>
    <t>E_D_VS</t>
  </si>
  <si>
    <t>kotelna čerpadla</t>
  </si>
  <si>
    <t>E_D_BOJLER</t>
  </si>
  <si>
    <t>bojler D</t>
  </si>
  <si>
    <t>E_D_SPOL</t>
  </si>
  <si>
    <t>D společná</t>
  </si>
  <si>
    <t>E_E1</t>
  </si>
  <si>
    <t>Hala E</t>
  </si>
  <si>
    <t>E_F1</t>
  </si>
  <si>
    <t>E_F2</t>
  </si>
  <si>
    <t>E_F3</t>
  </si>
  <si>
    <t>plošina</t>
  </si>
  <si>
    <t>E_F4</t>
  </si>
  <si>
    <t>neměnný stav, nepřiřazeno</t>
  </si>
  <si>
    <t>E_M1</t>
  </si>
  <si>
    <t>E_N1</t>
  </si>
  <si>
    <t>Šprc - Logic</t>
  </si>
  <si>
    <t>E_N2</t>
  </si>
  <si>
    <t>bojler šatny 2NP, nevyužito</t>
  </si>
  <si>
    <t>E_N3</t>
  </si>
  <si>
    <t>rozúčtovat Kaleta/CSE/Logicvision/Vlamon</t>
  </si>
  <si>
    <t>CELKEM:</t>
  </si>
  <si>
    <t>E_N4</t>
  </si>
  <si>
    <t>bojler šatny</t>
  </si>
  <si>
    <t>Celkem odečtena spotřeba m3</t>
  </si>
  <si>
    <t>Fakturovaná spotřeba m3</t>
  </si>
  <si>
    <t>E_O1</t>
  </si>
  <si>
    <t>Rozdíl (chybí/přebývá) kWh</t>
  </si>
  <si>
    <t>Rozdíl (chybí/přebývá) %</t>
  </si>
  <si>
    <t>E_O2</t>
  </si>
  <si>
    <t>Komu?</t>
  </si>
  <si>
    <t>Fakturace celkem Kč</t>
  </si>
  <si>
    <t>sazba 66,15+62,48 = 128,63 Kč</t>
  </si>
  <si>
    <t>E_O3</t>
  </si>
  <si>
    <t>Cena Kč/m3</t>
  </si>
  <si>
    <t>bojler kotelna, vypnuto</t>
  </si>
  <si>
    <t>E_O4</t>
  </si>
  <si>
    <t>E_O5</t>
  </si>
  <si>
    <t>E_O6</t>
  </si>
  <si>
    <t>E_O7</t>
  </si>
  <si>
    <t>E_S1</t>
  </si>
  <si>
    <t>hala S/E</t>
  </si>
  <si>
    <t>E_T1</t>
  </si>
  <si>
    <t>668VT</t>
  </si>
  <si>
    <t>odběrné místo 668</t>
  </si>
  <si>
    <t>668NT</t>
  </si>
  <si>
    <t>E_SPOL</t>
  </si>
  <si>
    <t>osvit/čerpadla/budova A</t>
  </si>
  <si>
    <t>E_CELKEM</t>
  </si>
  <si>
    <t>Celkem odečtena spotřeba GJ</t>
  </si>
  <si>
    <t>Fakturovaná spotřeba GJ</t>
  </si>
  <si>
    <t>Sazby Kč/GJ</t>
  </si>
  <si>
    <t>pozor odečet bojleru</t>
  </si>
  <si>
    <t>bojler</t>
  </si>
  <si>
    <t>Celkem odečtena spotřeba kWh</t>
  </si>
  <si>
    <t>Fakturovaná TEDOM kWh</t>
  </si>
  <si>
    <t xml:space="preserve"> Fakturovaná spotřeba Szypka kWh</t>
  </si>
  <si>
    <t>Celkem fakturovaná spotřeba kWh</t>
  </si>
  <si>
    <t>bez 4% přirážky kWh</t>
  </si>
  <si>
    <t>Fakturace TEDOM Kč</t>
  </si>
  <si>
    <t>Fakturace SZYPKA Kč</t>
  </si>
  <si>
    <t>Sazba Kč/kWh</t>
  </si>
  <si>
    <t>Spotřeba  kWh 668</t>
  </si>
  <si>
    <t>Fakturace celkem Kč 668</t>
  </si>
  <si>
    <t>Sazba Kč/kWh 668</t>
  </si>
  <si>
    <t>CELKEM Kč</t>
  </si>
  <si>
    <t>Časová značka</t>
  </si>
  <si>
    <t>Odečet kdy?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</si>
</sst>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\.\ m\.\ yyyy"/>
    <numFmt numFmtId="165" formatCode="mmmm"/>
    <numFmt numFmtId="166" formatCode="d\.m\.yyyy"/>
    <numFmt numFmtId="167" formatCode="#,##0.00%"/>
    <numFmt numFmtId="168" formatCode="_-* #,##0.00\ &quot;Kč&quot;_-;\-* #,##0.00\ &quot;Kč&quot;_-;_-* &quot;-&quot;??\ &quot;Kč&quot;_-;_-@"/>
    <numFmt numFmtId="169" formatCode="#,##0.0##"/>
    <numFmt numFmtId="170" formatCode="#,##0.0###"/>
    <numFmt numFmtId="171" formatCode="#,##0.0###############"/>
    <numFmt numFmtId="172" formatCode="#,##0.00\ [$Kč-405]"/>
    <numFmt numFmtId="173" formatCode="_-* #,##0.000\ &quot;Kč&quot;_-;\-* #,##0.000\ &quot;Kč&quot;_-;_-* &quot;-&quot;??\ &quot;Kč&quot;_-;_-@"/>
    <numFmt numFmtId="174" formatCode="#,##0.000\ [$Kč-405]"/>
    <numFmt numFmtId="175" formatCode="m/d/yyyy h:mm:ss"/>
  </numFmts>
  <fonts count="10">
    <font>
      <sz val="10.0"/>
      <color rgb="FF000000"/>
      <name val="Helvetica Neue"/>
      <scheme val="minor"/>
    </font>
    <font>
      <b/>
      <sz val="10.0"/>
      <color rgb="FF000000"/>
      <name val="Helvetica Neue"/>
    </font>
    <font>
      <sz val="10.0"/>
      <color rgb="FF000000"/>
      <name val="Helvetica Neue"/>
    </font>
    <font>
      <b/>
      <sz val="11.0"/>
      <color rgb="FF000000"/>
      <name val="Helvetica Neue"/>
    </font>
    <font>
      <b/>
      <sz val="11.0"/>
      <color theme="1"/>
      <name val="Helvetica Neue"/>
    </font>
    <font>
      <sz val="11.0"/>
      <color rgb="FF000000"/>
      <name val="Helvetica Neue"/>
    </font>
    <font/>
    <font>
      <b/>
      <sz val="10.0"/>
      <color theme="1"/>
      <name val="Helvetica Neue"/>
    </font>
    <font>
      <color theme="1"/>
      <name val="Helvetica Neue"/>
      <scheme val="minor"/>
    </font>
    <font>
      <b/>
      <color theme="1"/>
      <name val="Helvetica Neue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FFF056"/>
        <bgColor rgb="FFFFF056"/>
      </patternFill>
    </fill>
    <fill>
      <patternFill patternType="solid">
        <fgColor rgb="FFFEFFFE"/>
        <bgColor rgb="FFFEFFFE"/>
      </patternFill>
    </fill>
    <fill>
      <patternFill patternType="solid">
        <fgColor rgb="FFFF968C"/>
        <bgColor rgb="FFFF968C"/>
      </patternFill>
    </fill>
    <fill>
      <patternFill patternType="solid">
        <fgColor rgb="FFFFFF00"/>
        <bgColor rgb="FFFFFF00"/>
      </patternFill>
    </fill>
    <fill>
      <patternFill patternType="solid">
        <fgColor rgb="FFC0E69E"/>
        <bgColor rgb="FFC0E69E"/>
      </patternFill>
    </fill>
    <fill>
      <patternFill patternType="solid">
        <fgColor theme="7"/>
        <bgColor theme="7"/>
      </patternFill>
    </fill>
    <fill>
      <patternFill patternType="solid">
        <fgColor rgb="FF017000"/>
        <bgColor rgb="FF017000"/>
      </patternFill>
    </fill>
  </fills>
  <borders count="10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 style="thin">
        <color rgb="FFA5A5A5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shrinkToFit="0" vertical="top" wrapText="1"/>
    </xf>
    <xf borderId="2" fillId="3" fontId="1" numFmtId="49" xfId="0" applyAlignment="1" applyBorder="1" applyFill="1" applyFont="1" applyNumberFormat="1">
      <alignment shrinkToFit="0" vertical="top" wrapText="1"/>
    </xf>
    <xf borderId="0" fillId="0" fontId="2" numFmtId="0" xfId="0" applyAlignment="1" applyFont="1">
      <alignment shrinkToFit="0" vertical="top" wrapText="1"/>
    </xf>
    <xf borderId="3" fillId="3" fontId="1" numFmtId="0" xfId="0" applyAlignment="1" applyBorder="1" applyFont="1">
      <alignment shrinkToFit="0" vertical="top" wrapText="1"/>
    </xf>
    <xf borderId="4" fillId="3" fontId="1" numFmtId="0" xfId="0" applyAlignment="1" applyBorder="1" applyFont="1">
      <alignment shrinkToFit="0" vertical="top" wrapText="1"/>
    </xf>
    <xf borderId="5" fillId="3" fontId="1" numFmtId="49" xfId="0" applyAlignment="1" applyBorder="1" applyFont="1" applyNumberFormat="1">
      <alignment shrinkToFit="0" vertical="top" wrapText="1"/>
    </xf>
    <xf borderId="6" fillId="4" fontId="3" numFmtId="49" xfId="0" applyAlignment="1" applyBorder="1" applyFill="1" applyFont="1" applyNumberFormat="1">
      <alignment horizontal="center" shrinkToFit="0" vertical="top" wrapText="1"/>
    </xf>
    <xf borderId="0" fillId="0" fontId="4" numFmtId="49" xfId="0" applyAlignment="1" applyFont="1" applyNumberFormat="1">
      <alignment horizontal="center" readingOrder="0" shrinkToFit="0" vertical="top" wrapText="1"/>
    </xf>
    <xf borderId="6" fillId="4" fontId="3" numFmtId="164" xfId="0" applyAlignment="1" applyBorder="1" applyFont="1" applyNumberFormat="1">
      <alignment horizontal="center" shrinkToFit="0" vertical="top" wrapText="1"/>
    </xf>
    <xf borderId="0" fillId="0" fontId="4" numFmtId="164" xfId="0" applyAlignment="1" applyFont="1" applyNumberFormat="1">
      <alignment horizontal="center" readingOrder="0" shrinkToFit="0" vertical="top" wrapText="1"/>
    </xf>
    <xf borderId="0" fillId="0" fontId="5" numFmtId="0" xfId="0" applyAlignment="1" applyFont="1">
      <alignment shrinkToFit="0" vertical="top" wrapText="1"/>
    </xf>
    <xf borderId="6" fillId="3" fontId="3" numFmtId="49" xfId="0" applyAlignment="1" applyBorder="1" applyFont="1" applyNumberFormat="1">
      <alignment shrinkToFit="0" vertical="top" wrapText="1"/>
    </xf>
    <xf borderId="6" fillId="0" fontId="5" numFmtId="49" xfId="0" applyAlignment="1" applyBorder="1" applyFont="1" applyNumberFormat="1">
      <alignment horizontal="center" shrinkToFit="0" vertical="top" wrapText="1"/>
    </xf>
    <xf borderId="6" fillId="0" fontId="5" numFmtId="3" xfId="0" applyAlignment="1" applyBorder="1" applyFont="1" applyNumberFormat="1">
      <alignment shrinkToFit="0" vertical="top" wrapText="1"/>
    </xf>
    <xf borderId="6" fillId="0" fontId="5" numFmtId="3" xfId="0" applyAlignment="1" applyBorder="1" applyFont="1" applyNumberFormat="1">
      <alignment readingOrder="0" shrinkToFit="0" vertical="top" wrapText="1"/>
    </xf>
    <xf borderId="6" fillId="3" fontId="3" numFmtId="49" xfId="0" applyAlignment="1" applyBorder="1" applyFont="1" applyNumberFormat="1">
      <alignment shrinkToFit="0" vertical="top" wrapText="1"/>
    </xf>
    <xf borderId="6" fillId="0" fontId="5" numFmtId="49" xfId="0" applyAlignment="1" applyBorder="1" applyFont="1" applyNumberFormat="1">
      <alignment horizontal="center" shrinkToFit="0" vertical="top" wrapText="1"/>
    </xf>
    <xf borderId="6" fillId="0" fontId="5" numFmtId="49" xfId="0" applyAlignment="1" applyBorder="1" applyFont="1" applyNumberFormat="1">
      <alignment shrinkToFit="0" vertical="top" wrapText="1"/>
    </xf>
    <xf borderId="6" fillId="0" fontId="5" numFmtId="3" xfId="0" applyAlignment="1" applyBorder="1" applyFont="1" applyNumberFormat="1">
      <alignment shrinkToFit="0" vertical="top" wrapText="1"/>
    </xf>
    <xf borderId="6" fillId="0" fontId="5" numFmtId="3" xfId="0" applyAlignment="1" applyBorder="1" applyFont="1" applyNumberFormat="1">
      <alignment readingOrder="0" shrinkToFit="0" vertical="top" wrapText="1"/>
    </xf>
    <xf borderId="6" fillId="5" fontId="5" numFmtId="49" xfId="0" applyAlignment="1" applyBorder="1" applyFill="1" applyFont="1" applyNumberFormat="1">
      <alignment horizontal="center" shrinkToFit="0" vertical="top" wrapText="1"/>
    </xf>
    <xf borderId="7" fillId="3" fontId="1" numFmtId="49" xfId="0" applyAlignment="1" applyBorder="1" applyFont="1" applyNumberFormat="1">
      <alignment shrinkToFit="0" vertical="top" wrapText="1"/>
    </xf>
    <xf borderId="0" fillId="0" fontId="2" numFmtId="3" xfId="0" applyAlignment="1" applyFont="1" applyNumberFormat="1">
      <alignment shrinkToFit="0" vertical="top" wrapText="1"/>
    </xf>
    <xf borderId="6" fillId="0" fontId="5" numFmtId="0" xfId="0" applyAlignment="1" applyBorder="1" applyFont="1">
      <alignment horizontal="center" shrinkToFit="0" vertical="top" wrapText="1"/>
    </xf>
    <xf borderId="6" fillId="6" fontId="5" numFmtId="49" xfId="0" applyAlignment="1" applyBorder="1" applyFill="1" applyFont="1" applyNumberFormat="1">
      <alignment horizontal="center" shrinkToFit="0" vertical="top" wrapText="1"/>
    </xf>
    <xf borderId="6" fillId="0" fontId="5" numFmtId="49" xfId="0" applyAlignment="1" applyBorder="1" applyFont="1" applyNumberFormat="1">
      <alignment horizontal="center" readingOrder="0" shrinkToFit="0" vertical="top" wrapText="1"/>
    </xf>
    <xf borderId="6" fillId="0" fontId="5" numFmtId="4" xfId="0" applyAlignment="1" applyBorder="1" applyFont="1" applyNumberFormat="1">
      <alignment readingOrder="0" shrinkToFit="0" vertical="top" wrapText="1"/>
    </xf>
    <xf borderId="0" fillId="0" fontId="5" numFmtId="0" xfId="0" applyAlignment="1" applyFont="1">
      <alignment horizontal="center" shrinkToFit="0" vertical="top" wrapText="1"/>
    </xf>
    <xf borderId="0" fillId="0" fontId="4" numFmtId="165" xfId="0" applyAlignment="1" applyFont="1" applyNumberFormat="1">
      <alignment horizontal="center" readingOrder="0" shrinkToFit="0" vertical="top" wrapText="1"/>
    </xf>
    <xf borderId="6" fillId="0" fontId="5" numFmtId="0" xfId="0" applyAlignment="1" applyBorder="1" applyFont="1">
      <alignment shrinkToFit="0" vertical="top" wrapText="1"/>
    </xf>
    <xf borderId="6" fillId="0" fontId="5" numFmtId="166" xfId="0" applyAlignment="1" applyBorder="1" applyFont="1" applyNumberFormat="1">
      <alignment shrinkToFit="0" vertical="top" wrapText="1"/>
    </xf>
    <xf borderId="6" fillId="3" fontId="3" numFmtId="0" xfId="0" applyAlignment="1" applyBorder="1" applyFont="1">
      <alignment shrinkToFit="0" vertical="top" wrapText="1"/>
    </xf>
    <xf borderId="6" fillId="0" fontId="5" numFmtId="0" xfId="0" applyAlignment="1" applyBorder="1" applyFont="1">
      <alignment horizontal="center" shrinkToFit="0" vertical="top" wrapText="1"/>
    </xf>
    <xf borderId="6" fillId="0" fontId="5" numFmtId="0" xfId="0" applyAlignment="1" applyBorder="1" applyFont="1">
      <alignment shrinkToFit="0" vertical="top" wrapText="1"/>
    </xf>
    <xf borderId="8" fillId="3" fontId="3" numFmtId="49" xfId="0" applyAlignment="1" applyBorder="1" applyFont="1" applyNumberFormat="1">
      <alignment horizontal="right" shrinkToFit="0" vertical="top" wrapText="1"/>
    </xf>
    <xf borderId="9" fillId="0" fontId="6" numFmtId="0" xfId="0" applyAlignment="1" applyBorder="1" applyFont="1">
      <alignment shrinkToFit="0" vertical="top" wrapText="1"/>
    </xf>
    <xf borderId="6" fillId="0" fontId="3" numFmtId="3" xfId="0" applyAlignment="1" applyBorder="1" applyFont="1" applyNumberFormat="1">
      <alignment shrinkToFit="0" vertical="top" wrapText="1"/>
    </xf>
    <xf borderId="8" fillId="3" fontId="3" numFmtId="0" xfId="0" applyAlignment="1" applyBorder="1" applyFont="1">
      <alignment horizontal="right" shrinkToFit="0" vertical="top" wrapText="1"/>
    </xf>
    <xf borderId="6" fillId="7" fontId="3" numFmtId="3" xfId="0" applyAlignment="1" applyBorder="1" applyFill="1" applyFont="1" applyNumberFormat="1">
      <alignment readingOrder="0" shrinkToFit="0" vertical="top" wrapText="1"/>
    </xf>
    <xf borderId="6" fillId="7" fontId="3" numFmtId="3" xfId="0" applyAlignment="1" applyBorder="1" applyFont="1" applyNumberFormat="1">
      <alignment shrinkToFit="0" vertical="top" wrapText="1"/>
    </xf>
    <xf borderId="6" fillId="0" fontId="3" numFmtId="167" xfId="0" applyAlignment="1" applyBorder="1" applyFont="1" applyNumberFormat="1">
      <alignment shrinkToFit="0" vertical="top" wrapText="1"/>
    </xf>
    <xf borderId="6" fillId="0" fontId="3" numFmtId="168" xfId="0" applyAlignment="1" applyBorder="1" applyFont="1" applyNumberFormat="1">
      <alignment shrinkToFit="0" vertical="top" wrapText="1"/>
    </xf>
    <xf borderId="6" fillId="0" fontId="3" numFmtId="168" xfId="0" applyAlignment="1" applyBorder="1" applyFont="1" applyNumberFormat="1">
      <alignment readingOrder="0" shrinkToFit="0" vertical="top" wrapText="1"/>
    </xf>
    <xf borderId="6" fillId="3" fontId="3" numFmtId="0" xfId="0" applyAlignment="1" applyBorder="1" applyFont="1">
      <alignment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7" numFmtId="49" xfId="0" applyAlignment="1" applyFont="1" applyNumberFormat="1">
      <alignment horizontal="center" readingOrder="0" shrinkToFit="0" vertical="top" wrapText="1"/>
    </xf>
    <xf borderId="0" fillId="0" fontId="7" numFmtId="165" xfId="0" applyAlignment="1" applyFont="1" applyNumberFormat="1">
      <alignment horizontal="center" readingOrder="0" shrinkToFit="0" vertical="top" wrapText="1"/>
    </xf>
    <xf borderId="6" fillId="3" fontId="1" numFmtId="49" xfId="0" applyAlignment="1" applyBorder="1" applyFont="1" applyNumberFormat="1">
      <alignment shrinkToFit="0" vertical="top" wrapText="1"/>
    </xf>
    <xf borderId="6" fillId="0" fontId="2" numFmtId="0" xfId="0" applyAlignment="1" applyBorder="1" applyFont="1">
      <alignment horizontal="center" shrinkToFit="0" vertical="top" wrapText="1"/>
    </xf>
    <xf borderId="6" fillId="0" fontId="2" numFmtId="0" xfId="0" applyAlignment="1" applyBorder="1" applyFont="1">
      <alignment shrinkToFit="0" vertical="top" wrapText="1"/>
    </xf>
    <xf borderId="6" fillId="8" fontId="2" numFmtId="166" xfId="0" applyAlignment="1" applyBorder="1" applyFill="1" applyFont="1" applyNumberFormat="1">
      <alignment readingOrder="0" shrinkToFit="0" vertical="top" wrapText="1"/>
    </xf>
    <xf borderId="6" fillId="0" fontId="2" numFmtId="166" xfId="0" applyAlignment="1" applyBorder="1" applyFont="1" applyNumberFormat="1">
      <alignment shrinkToFit="0" vertical="top" wrapText="1"/>
    </xf>
    <xf borderId="6" fillId="0" fontId="2" numFmtId="49" xfId="0" applyAlignment="1" applyBorder="1" applyFont="1" applyNumberFormat="1">
      <alignment horizontal="center" shrinkToFit="0" vertical="top" wrapText="1"/>
    </xf>
    <xf borderId="6" fillId="0" fontId="3" numFmtId="169" xfId="0" applyAlignment="1" applyBorder="1" applyFont="1" applyNumberFormat="1">
      <alignment shrinkToFit="0" vertical="top" wrapText="1"/>
    </xf>
    <xf borderId="6" fillId="0" fontId="3" numFmtId="170" xfId="0" applyAlignment="1" applyBorder="1" applyFont="1" applyNumberFormat="1">
      <alignment shrinkToFit="0" vertical="top" wrapText="1"/>
    </xf>
    <xf borderId="6" fillId="0" fontId="3" numFmtId="171" xfId="0" applyAlignment="1" applyBorder="1" applyFont="1" applyNumberFormat="1">
      <alignment shrinkToFit="0" vertical="top" wrapText="1"/>
    </xf>
    <xf borderId="6" fillId="4" fontId="3" numFmtId="3" xfId="0" applyAlignment="1" applyBorder="1" applyFont="1" applyNumberFormat="1">
      <alignment readingOrder="0" shrinkToFit="0" vertical="top" wrapText="1"/>
    </xf>
    <xf borderId="6" fillId="4" fontId="3" numFmtId="4" xfId="0" applyAlignment="1" applyBorder="1" applyFont="1" applyNumberFormat="1">
      <alignment readingOrder="0" shrinkToFit="0" vertical="top" wrapText="1"/>
    </xf>
    <xf borderId="6" fillId="4" fontId="3" numFmtId="3" xfId="0" applyAlignment="1" applyBorder="1" applyFont="1" applyNumberFormat="1">
      <alignment shrinkToFit="0" vertical="top" wrapText="1"/>
    </xf>
    <xf borderId="6" fillId="0" fontId="3" numFmtId="4" xfId="0" applyAlignment="1" applyBorder="1" applyFont="1" applyNumberFormat="1">
      <alignment shrinkToFit="0" vertical="top" wrapText="1"/>
    </xf>
    <xf borderId="6" fillId="4" fontId="3" numFmtId="168" xfId="0" applyAlignment="1" applyBorder="1" applyFont="1" applyNumberFormat="1">
      <alignment readingOrder="0" shrinkToFit="0" vertical="top" wrapText="1"/>
    </xf>
    <xf borderId="6" fillId="4" fontId="3" numFmtId="168" xfId="0" applyAlignment="1" applyBorder="1" applyFont="1" applyNumberFormat="1">
      <alignment shrinkToFit="0" vertical="top" wrapText="1"/>
    </xf>
    <xf borderId="6" fillId="0" fontId="3" numFmtId="172" xfId="0" applyAlignment="1" applyBorder="1" applyFont="1" applyNumberFormat="1">
      <alignment shrinkToFit="0" vertical="top" wrapText="1"/>
    </xf>
    <xf borderId="6" fillId="0" fontId="2" numFmtId="0" xfId="0" applyAlignment="1" applyBorder="1" applyFont="1">
      <alignment shrinkToFit="0" vertical="top" wrapText="1"/>
    </xf>
    <xf borderId="9" fillId="0" fontId="2" numFmtId="0" xfId="0" applyAlignment="1" applyBorder="1" applyFont="1">
      <alignment shrinkToFit="0" vertical="top" wrapText="1"/>
    </xf>
    <xf borderId="8" fillId="3" fontId="1" numFmtId="0" xfId="0" applyAlignment="1" applyBorder="1" applyFont="1">
      <alignment horizontal="right" shrinkToFit="0" vertical="top" wrapText="1"/>
    </xf>
    <xf borderId="6" fillId="0" fontId="2" numFmtId="0" xfId="0" applyAlignment="1" applyBorder="1" applyFont="1">
      <alignment horizontal="center" shrinkToFit="0" vertical="top" wrapText="1"/>
    </xf>
    <xf borderId="6" fillId="0" fontId="1" numFmtId="3" xfId="0" applyAlignment="1" applyBorder="1" applyFont="1" applyNumberFormat="1">
      <alignment shrinkToFit="0" vertical="top" wrapText="1"/>
    </xf>
    <xf borderId="6" fillId="0" fontId="2" numFmtId="0" xfId="0" applyAlignment="1" applyBorder="1" applyFont="1">
      <alignment shrinkToFit="0" vertical="top" wrapText="1"/>
    </xf>
    <xf borderId="8" fillId="3" fontId="1" numFmtId="49" xfId="0" applyAlignment="1" applyBorder="1" applyFont="1" applyNumberFormat="1">
      <alignment horizontal="right" shrinkToFit="0" vertical="top" wrapText="1"/>
    </xf>
    <xf borderId="8" fillId="3" fontId="2" numFmtId="49" xfId="0" applyAlignment="1" applyBorder="1" applyFont="1" applyNumberFormat="1">
      <alignment horizontal="right" shrinkToFit="0" vertical="top" wrapText="1"/>
    </xf>
    <xf borderId="6" fillId="9" fontId="1" numFmtId="3" xfId="0" applyAlignment="1" applyBorder="1" applyFill="1" applyFont="1" applyNumberFormat="1">
      <alignment readingOrder="0" shrinkToFit="0" vertical="top" wrapText="1"/>
    </xf>
    <xf borderId="6" fillId="9" fontId="1" numFmtId="3" xfId="0" applyAlignment="1" applyBorder="1" applyFont="1" applyNumberFormat="1">
      <alignment shrinkToFit="0" vertical="top" wrapText="1"/>
    </xf>
    <xf borderId="6" fillId="0" fontId="1" numFmtId="167" xfId="0" applyAlignment="1" applyBorder="1" applyFont="1" applyNumberFormat="1">
      <alignment shrinkToFit="0" vertical="top" wrapText="1"/>
    </xf>
    <xf borderId="6" fillId="9" fontId="1" numFmtId="168" xfId="0" applyAlignment="1" applyBorder="1" applyFont="1" applyNumberFormat="1">
      <alignment readingOrder="0" shrinkToFit="0" vertical="top" wrapText="1"/>
    </xf>
    <xf borderId="6" fillId="9" fontId="1" numFmtId="168" xfId="0" applyAlignment="1" applyBorder="1" applyFont="1" applyNumberFormat="1">
      <alignment shrinkToFit="0" vertical="top" wrapText="1"/>
    </xf>
    <xf borderId="6" fillId="0" fontId="1" numFmtId="168" xfId="0" applyAlignment="1" applyBorder="1" applyFont="1" applyNumberFormat="1">
      <alignment shrinkToFit="0" vertical="top" wrapText="1"/>
    </xf>
    <xf borderId="6" fillId="0" fontId="1" numFmtId="173" xfId="0" applyAlignment="1" applyBorder="1" applyFont="1" applyNumberFormat="1">
      <alignment shrinkToFit="0" vertical="top" wrapText="1"/>
    </xf>
    <xf borderId="8" fillId="10" fontId="1" numFmtId="0" xfId="0" applyAlignment="1" applyBorder="1" applyFill="1" applyFont="1">
      <alignment horizontal="right" shrinkToFit="0" vertical="top" wrapText="1"/>
    </xf>
    <xf borderId="6" fillId="10" fontId="2" numFmtId="0" xfId="0" applyAlignment="1" applyBorder="1" applyFont="1">
      <alignment horizontal="center" shrinkToFit="0" vertical="top" wrapText="1"/>
    </xf>
    <xf borderId="6" fillId="10" fontId="1" numFmtId="174" xfId="0" applyAlignment="1" applyBorder="1" applyFont="1" applyNumberFormat="1">
      <alignment shrinkToFit="0" vertical="top" wrapText="1"/>
    </xf>
    <xf borderId="6" fillId="10" fontId="2" numFmtId="0" xfId="0" applyAlignment="1" applyBorder="1" applyFont="1">
      <alignment shrinkToFit="0" vertical="top" wrapText="1"/>
    </xf>
    <xf borderId="6" fillId="10" fontId="1" numFmtId="3" xfId="0" applyAlignment="1" applyBorder="1" applyFont="1" applyNumberFormat="1">
      <alignment shrinkToFit="0" vertical="top" wrapText="1"/>
    </xf>
    <xf borderId="6" fillId="0" fontId="1" numFmtId="0" xfId="0" applyAlignment="1" applyBorder="1" applyFont="1">
      <alignment shrinkToFit="0" vertical="top" wrapText="1"/>
    </xf>
    <xf borderId="6" fillId="0" fontId="2" numFmtId="0" xfId="0" applyAlignment="1" applyBorder="1" applyFont="1">
      <alignment shrinkToFit="0" vertical="top" wrapText="1"/>
    </xf>
    <xf borderId="6" fillId="0" fontId="2" numFmtId="172" xfId="0" applyAlignment="1" applyBorder="1" applyFont="1" applyNumberFormat="1">
      <alignment shrinkToFit="0" vertical="top" wrapText="1"/>
    </xf>
    <xf borderId="6" fillId="0" fontId="2" numFmtId="168" xfId="0" applyAlignment="1" applyBorder="1" applyFont="1" applyNumberFormat="1">
      <alignment shrinkToFit="0" vertical="top" wrapText="1"/>
    </xf>
    <xf borderId="0" fillId="0" fontId="8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8" numFmtId="175" xfId="0" applyAlignment="1" applyFont="1" applyNumberFormat="1">
      <alignment readingOrder="0" shrinkToFit="0" vertical="center" wrapText="0"/>
    </xf>
    <xf borderId="0" fillId="0" fontId="8" numFmtId="14" xfId="0" applyAlignment="1" applyFont="1" applyNumberForma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175" xfId="0" applyAlignment="1" applyFont="1" applyNumberFormat="1">
      <alignment readingOrder="0" shrinkToFit="0" vertical="center" wrapText="0"/>
    </xf>
    <xf borderId="0" fillId="0" fontId="8" numFmtId="14" xfId="0" applyAlignment="1" applyFont="1" applyNumberForma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  <tableStyles count="6">
    <tableStyle count="4" pivot="0" name="TEPL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LEKT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OD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LEKTR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OD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dpovědi formuláře 1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48" displayName="STAVY" name="STAVY" id="3">
  <tableColumns count="17">
    <tableColumn name="STAVY" id="1"/>
    <tableColumn name="KLIENT" id="2"/>
    <tableColumn name="Poznámka" id="3"/>
    <tableColumn name="Jedn." id="4"/>
    <tableColumn name="1. 1. 2026" id="5"/>
    <tableColumn name="1. 2. 2026" id="6"/>
    <tableColumn name="1. 3. 2026" id="7"/>
    <tableColumn name="1. 4. 2026" id="8"/>
    <tableColumn name="1. 5. 2026" id="9"/>
    <tableColumn name="1. 6. 2026" id="10"/>
    <tableColumn name="1. 7. 2026" id="11"/>
    <tableColumn name="1. 8. 2026" id="12"/>
    <tableColumn name="1. 9. 2026" id="13"/>
    <tableColumn name="1. 10. 2026" id="14"/>
    <tableColumn name="1. 11. 2026" id="15"/>
    <tableColumn name="1. 12. 2026" id="16"/>
    <tableColumn name="1. 1. 2027" id="17"/>
  </tableColumns>
  <tableStyleInfo name="ELEKTRO-style" showColumnStripes="0" showFirstColumn="1" showLastColumn="1" showRowStripes="1"/>
</table>
</file>

<file path=xl/tables/table2.xml><?xml version="1.0" encoding="utf-8"?>
<table xmlns="http://schemas.openxmlformats.org/spreadsheetml/2006/main" ref="A50:Q97" displayName="SPOTŘEBY" name="SPOTŘEBY" id="4">
  <tableColumns count="17">
    <tableColumn name="SPOTŘEBY" id="1"/>
    <tableColumn name="KLIENT" id="2"/>
    <tableColumn name="Poznámka" id="3"/>
    <tableColumn name="Koef" id="4"/>
    <tableColumn name="ledna" id="5"/>
    <tableColumn name="února" id="6"/>
    <tableColumn name="března" id="7"/>
    <tableColumn name="dubna" id="8"/>
    <tableColumn name="května" id="9"/>
    <tableColumn name="června" id="10"/>
    <tableColumn name="července" id="11"/>
    <tableColumn name="srpna" id="12"/>
    <tableColumn name="září" id="13"/>
    <tableColumn name="října" id="14"/>
    <tableColumn name="listopadu" id="15"/>
    <tableColumn name="prosince" id="16"/>
    <tableColumn name="Odečet" id="17"/>
  </tableColumns>
  <tableStyleInfo name="ELEKTRO-style 2" showColumnStripes="0" showFirstColumn="1" showLastColumn="1" showRowStripes="1"/>
</table>
</file>

<file path=xl/tables/table3.xml><?xml version="1.0" encoding="utf-8"?>
<table xmlns="http://schemas.openxmlformats.org/spreadsheetml/2006/main" ref="A1:Q17" displayName="Tabulka4" name="Tabulka4" id="2">
  <tableColumns count="17">
    <tableColumn name="STAVY" id="1"/>
    <tableColumn name="KLIENT" id="2"/>
    <tableColumn name="Poznámka" id="3"/>
    <tableColumn name="Jedn." id="4"/>
    <tableColumn name="1. 1. 2026" id="5"/>
    <tableColumn name="1. 2. 2026" id="6"/>
    <tableColumn name="1. 3. 2026" id="7"/>
    <tableColumn name="1. 4. 2026" id="8"/>
    <tableColumn name="1. 5. 2026" id="9"/>
    <tableColumn name="1. 6. 2026" id="10"/>
    <tableColumn name="1. 7. 2026" id="11"/>
    <tableColumn name="1. 8. 2026" id="12"/>
    <tableColumn name="1. 9. 2026" id="13"/>
    <tableColumn name="1. 10. 2026" id="14"/>
    <tableColumn name="1. 11. 2026" id="15"/>
    <tableColumn name="1. 12. 2026" id="16"/>
    <tableColumn name="1. 1. 2027" id="17"/>
  </tableColumns>
  <tableStyleInfo name="VODA-style" showColumnStripes="0" showFirstColumn="1" showLastColumn="1" showRowStripes="1"/>
</table>
</file>

<file path=xl/tables/table4.xml><?xml version="1.0" encoding="utf-8"?>
<table xmlns="http://schemas.openxmlformats.org/spreadsheetml/2006/main" ref="A19:Q35" displayName="Tabulka3" name="Tabulka3" id="5">
  <tableColumns count="17">
    <tableColumn name="SPOTŘEBY" id="1"/>
    <tableColumn name="KLIENT" id="2"/>
    <tableColumn name="Poznámka" id="3"/>
    <tableColumn name="Koef" id="4"/>
    <tableColumn name="ledna" id="5"/>
    <tableColumn name="února" id="6"/>
    <tableColumn name="března" id="7"/>
    <tableColumn name="dubna" id="8"/>
    <tableColumn name="května" id="9"/>
    <tableColumn name="června" id="10"/>
    <tableColumn name="července" id="11"/>
    <tableColumn name="srpna" id="12"/>
    <tableColumn name="září" id="13"/>
    <tableColumn name="října" id="14"/>
    <tableColumn name="listopadu" id="15"/>
    <tableColumn name="prosince" id="16"/>
    <tableColumn name="Odečet" id="17"/>
  </tableColumns>
  <tableStyleInfo name="VODA-style 2" showColumnStripes="0" showFirstColumn="1" showLastColumn="1" showRowStripes="1"/>
</table>
</file>

<file path=xl/tables/table5.xml><?xml version="1.0" encoding="utf-8"?>
<table xmlns="http://schemas.openxmlformats.org/spreadsheetml/2006/main" ref="A26:Q49" displayName="Tabulka1" name="Tabulka1" id="1">
  <tableColumns count="17">
    <tableColumn name="SPOTŘEBY" id="1"/>
    <tableColumn name="KLIENT" id="2"/>
    <tableColumn name="Poznámka" id="3"/>
    <tableColumn name="Koef" id="4"/>
    <tableColumn name="ledna" id="5"/>
    <tableColumn name="února" id="6"/>
    <tableColumn name="března" id="7"/>
    <tableColumn name="dubna" id="8"/>
    <tableColumn name="května" id="9"/>
    <tableColumn name="srpna" id="10"/>
    <tableColumn name="července" id="11"/>
    <tableColumn name="srpna 2" id="12"/>
    <tableColumn name="září" id="13"/>
    <tableColumn name="října" id="14"/>
    <tableColumn name="listopadu" id="15"/>
    <tableColumn name="prosince" id="16"/>
    <tableColumn name="Odečet" id="17"/>
  </tableColumns>
  <tableStyleInfo name="TEPLO-style" showColumnStripes="0" showFirstColumn="1" showLastColumn="1" showRowStripes="1"/>
</table>
</file>

<file path=xl/tables/table6.xml><?xml version="1.0" encoding="utf-8"?>
<table xmlns="http://schemas.openxmlformats.org/spreadsheetml/2006/main" ref="A1:D4" displayName="Form_Responses" name="Form_Responses" id="6">
  <tableColumns count="4">
    <tableColumn name="Časová značka" id="1"/>
    <tableColumn name="Odečet kdy?" id="2"/>
    <tableColumn name="E_A1" id="3"/>
    <tableColumn name="E_A2" id="4"/>
  </tableColumns>
  <tableStyleInfo name="Odpovědi formulář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2" width="33.14"/>
    <col customWidth="1" min="3" max="3" width="43.86"/>
    <col customWidth="1" min="4" max="26" width="16.29"/>
  </cols>
  <sheetData>
    <row r="1" ht="20.2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0.25" customHeight="1">
      <c r="A2" s="4">
        <v>1.0</v>
      </c>
      <c r="B2" s="2" t="s">
        <v>3</v>
      </c>
      <c r="C2" s="2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5">
        <v>2.0</v>
      </c>
      <c r="B3" s="6" t="s">
        <v>4</v>
      </c>
      <c r="C3" s="2" t="s">
        <v>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4">
        <v>3.0</v>
      </c>
      <c r="B4" s="6" t="s">
        <v>6</v>
      </c>
      <c r="C4" s="2" t="s">
        <v>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5">
        <v>4.0</v>
      </c>
      <c r="B5" s="6" t="s">
        <v>7</v>
      </c>
      <c r="C5" s="2" t="s">
        <v>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4">
        <v>5.0</v>
      </c>
      <c r="B6" s="6" t="s">
        <v>11</v>
      </c>
      <c r="C6" s="2" t="s">
        <v>11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5">
        <v>6.0</v>
      </c>
      <c r="B7" s="6" t="s">
        <v>15</v>
      </c>
      <c r="C7" s="2" t="s">
        <v>15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4">
        <v>7.0</v>
      </c>
      <c r="B8" s="6" t="s">
        <v>22</v>
      </c>
      <c r="C8" s="2" t="s">
        <v>22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5">
        <v>8.0</v>
      </c>
      <c r="B9" s="6" t="s">
        <v>31</v>
      </c>
      <c r="C9" s="2" t="s">
        <v>31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4">
        <v>9.0</v>
      </c>
      <c r="B10" s="6" t="s">
        <v>35</v>
      </c>
      <c r="C10" s="2" t="s">
        <v>35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5">
        <v>10.0</v>
      </c>
      <c r="B11" s="6" t="s">
        <v>39</v>
      </c>
      <c r="C11" s="2" t="s">
        <v>39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4">
        <v>11.0</v>
      </c>
      <c r="B12" s="6" t="s">
        <v>41</v>
      </c>
      <c r="C12" s="2" t="s">
        <v>41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5">
        <v>12.0</v>
      </c>
      <c r="B13" s="6" t="s">
        <v>42</v>
      </c>
      <c r="C13" s="2" t="s">
        <v>42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4">
        <v>13.0</v>
      </c>
      <c r="B14" s="6" t="s">
        <v>44</v>
      </c>
      <c r="C14" s="2" t="s">
        <v>44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5">
        <v>14.0</v>
      </c>
      <c r="B15" s="6" t="s">
        <v>48</v>
      </c>
      <c r="C15" s="2" t="s">
        <v>48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4">
        <v>15.0</v>
      </c>
      <c r="B16" s="6" t="s">
        <v>50</v>
      </c>
      <c r="C16" s="2" t="s">
        <v>51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5">
        <v>16.0</v>
      </c>
      <c r="B17" s="6" t="s">
        <v>52</v>
      </c>
      <c r="C17" s="2" t="s">
        <v>53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4">
        <v>17.0</v>
      </c>
      <c r="B18" s="6" t="s">
        <v>57</v>
      </c>
      <c r="C18" s="2" t="s">
        <v>57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5">
        <v>18.0</v>
      </c>
      <c r="B19" s="6" t="s">
        <v>59</v>
      </c>
      <c r="C19" s="2" t="s">
        <v>59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4">
        <v>19.0</v>
      </c>
      <c r="B20" s="6" t="s">
        <v>63</v>
      </c>
      <c r="C20" s="2" t="s">
        <v>63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5">
        <v>20.0</v>
      </c>
      <c r="B21" s="6" t="s">
        <v>64</v>
      </c>
      <c r="C21" s="2" t="s">
        <v>64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4">
        <v>21.0</v>
      </c>
      <c r="B22" s="6" t="s">
        <v>61</v>
      </c>
      <c r="C22" s="2" t="s">
        <v>61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5">
        <v>22.0</v>
      </c>
      <c r="B23" s="6" t="s">
        <v>67</v>
      </c>
      <c r="C23" s="2" t="s">
        <v>67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4">
        <v>23.0</v>
      </c>
      <c r="B24" s="6" t="s">
        <v>72</v>
      </c>
      <c r="C24" s="2" t="s">
        <v>74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5">
        <v>24.0</v>
      </c>
      <c r="B25" s="6" t="s">
        <v>70</v>
      </c>
      <c r="C25" s="2" t="s">
        <v>77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4">
        <v>25.0</v>
      </c>
      <c r="B26" s="22" t="s">
        <v>78</v>
      </c>
      <c r="C26" s="2" t="s">
        <v>80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5">
        <v>26.0</v>
      </c>
      <c r="B27" s="22" t="s">
        <v>84</v>
      </c>
      <c r="C27" s="2" t="s">
        <v>70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4">
        <v>27.0</v>
      </c>
      <c r="B28" s="22" t="s">
        <v>29</v>
      </c>
      <c r="C28" s="2" t="s">
        <v>78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5">
        <v>28.0</v>
      </c>
      <c r="B29" s="22" t="s">
        <v>88</v>
      </c>
      <c r="C29" s="2" t="s">
        <v>89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4">
        <v>29.0</v>
      </c>
      <c r="B30" s="22" t="s">
        <v>74</v>
      </c>
      <c r="C30" s="2" t="s">
        <v>29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9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howErrorMessage="1" sqref="B2:B25">
      <formula1>"Artalo design s. r. o.,BAZALA zdvihací zařízení s. r. o.,BODY CLUB Brno s.r.o.,CarTune Stereo s.r.o.,ČTVRTNÍČKOVÁ - Dekorace interiérů s.r.o.,Dalibor HOLUB,Fitclub Cross Body MT s. r. o.,GENERAL ARMY spol. s r. o.,Ing. Roman CHAMRAD - SHIVA SHOP,Leoš DUDA"</formula1>
    </dataValidation>
  </dataValidations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6.43"/>
    <col customWidth="1" min="2" max="2" width="48.71"/>
    <col customWidth="1" min="3" max="3" width="40.86"/>
    <col customWidth="1" min="4" max="4" width="12.57"/>
    <col customWidth="1" min="5" max="5" width="21.14"/>
    <col customWidth="1" min="6" max="6" width="20.29"/>
    <col customWidth="1" min="7" max="7" width="20.14"/>
    <col customWidth="1" min="8" max="8" width="22.57"/>
    <col customWidth="1" min="9" max="9" width="23.57"/>
    <col customWidth="1" min="10" max="10" width="19.29"/>
    <col customWidth="1" min="11" max="11" width="20.14"/>
    <col customWidth="1" min="12" max="12" width="20.86"/>
    <col customWidth="1" min="13" max="13" width="17.0"/>
    <col customWidth="1" min="14" max="14" width="17.71"/>
    <col customWidth="1" min="15" max="15" width="18.43"/>
    <col customWidth="1" min="16" max="16" width="17.86"/>
    <col customWidth="1" min="17" max="17" width="14.71"/>
    <col customWidth="1" min="18" max="26" width="16.29"/>
  </cols>
  <sheetData>
    <row r="1" ht="12.75" customHeight="1">
      <c r="A1" s="8" t="s">
        <v>8</v>
      </c>
      <c r="B1" s="8" t="s">
        <v>9</v>
      </c>
      <c r="C1" s="8" t="s">
        <v>10</v>
      </c>
      <c r="D1" s="8" t="s">
        <v>12</v>
      </c>
      <c r="E1" s="10" t="s">
        <v>13</v>
      </c>
      <c r="F1" s="10" t="s">
        <v>14</v>
      </c>
      <c r="G1" s="10" t="s">
        <v>16</v>
      </c>
      <c r="H1" s="10" t="s">
        <v>17</v>
      </c>
      <c r="I1" s="10" t="s">
        <v>18</v>
      </c>
      <c r="J1" s="10" t="s">
        <v>19</v>
      </c>
      <c r="K1" s="10" t="s">
        <v>20</v>
      </c>
      <c r="L1" s="10" t="s">
        <v>21</v>
      </c>
      <c r="M1" s="10" t="s">
        <v>23</v>
      </c>
      <c r="N1" s="10" t="s">
        <v>24</v>
      </c>
      <c r="O1" s="10" t="s">
        <v>25</v>
      </c>
      <c r="P1" s="10" t="s">
        <v>27</v>
      </c>
      <c r="Q1" s="10" t="s">
        <v>28</v>
      </c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16" t="s">
        <v>33</v>
      </c>
      <c r="B2" s="16" t="s">
        <v>35</v>
      </c>
      <c r="C2" s="17" t="s">
        <v>36</v>
      </c>
      <c r="D2" s="18" t="s">
        <v>32</v>
      </c>
      <c r="E2" s="19">
        <v>36149.0</v>
      </c>
      <c r="F2" s="20">
        <v>36367.0</v>
      </c>
      <c r="G2" s="20">
        <v>36574.0</v>
      </c>
      <c r="H2" s="20">
        <v>36798.0</v>
      </c>
      <c r="I2" s="20">
        <v>37075.0</v>
      </c>
      <c r="J2" s="20">
        <v>37368.0</v>
      </c>
      <c r="K2" s="20">
        <v>37757.0</v>
      </c>
      <c r="L2" s="20">
        <v>38238.0</v>
      </c>
      <c r="M2" s="19">
        <v>0.0</v>
      </c>
      <c r="N2" s="19">
        <v>0.0</v>
      </c>
      <c r="O2" s="19">
        <v>0.0</v>
      </c>
      <c r="P2" s="19">
        <v>0.0</v>
      </c>
      <c r="Q2" s="19">
        <v>0.0</v>
      </c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16" t="s">
        <v>47</v>
      </c>
      <c r="B3" s="16" t="s">
        <v>42</v>
      </c>
      <c r="C3" s="17"/>
      <c r="D3" s="18" t="s">
        <v>32</v>
      </c>
      <c r="E3" s="19">
        <v>60225.0</v>
      </c>
      <c r="F3" s="20">
        <v>60272.0</v>
      </c>
      <c r="G3" s="20">
        <v>60309.0</v>
      </c>
      <c r="H3" s="20">
        <v>60341.0</v>
      </c>
      <c r="I3" s="20">
        <v>60368.0</v>
      </c>
      <c r="J3" s="20">
        <v>60415.0</v>
      </c>
      <c r="K3" s="20">
        <v>60486.0</v>
      </c>
      <c r="L3" s="20">
        <v>60549.0</v>
      </c>
      <c r="M3" s="19">
        <v>0.0</v>
      </c>
      <c r="N3" s="19">
        <v>0.0</v>
      </c>
      <c r="O3" s="19">
        <v>0.0</v>
      </c>
      <c r="P3" s="19">
        <v>0.0</v>
      </c>
      <c r="Q3" s="19">
        <v>0.0</v>
      </c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16" t="s">
        <v>58</v>
      </c>
      <c r="B4" s="16" t="s">
        <v>42</v>
      </c>
      <c r="C4" s="17"/>
      <c r="D4" s="18" t="s">
        <v>32</v>
      </c>
      <c r="E4" s="19">
        <v>5535.0</v>
      </c>
      <c r="F4" s="20">
        <v>5540.0</v>
      </c>
      <c r="G4" s="20">
        <v>5543.0</v>
      </c>
      <c r="H4" s="20">
        <v>5545.0</v>
      </c>
      <c r="I4" s="20">
        <v>5548.0</v>
      </c>
      <c r="J4" s="20">
        <v>5551.0</v>
      </c>
      <c r="K4" s="20">
        <v>5553.0</v>
      </c>
      <c r="L4" s="20">
        <v>5554.0</v>
      </c>
      <c r="M4" s="19">
        <v>0.0</v>
      </c>
      <c r="N4" s="19">
        <v>0.0</v>
      </c>
      <c r="O4" s="19">
        <v>0.0</v>
      </c>
      <c r="P4" s="19">
        <v>0.0</v>
      </c>
      <c r="Q4" s="19">
        <v>0.0</v>
      </c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16" t="s">
        <v>69</v>
      </c>
      <c r="B5" s="16" t="s">
        <v>70</v>
      </c>
      <c r="C5" s="17" t="s">
        <v>71</v>
      </c>
      <c r="D5" s="18" t="s">
        <v>32</v>
      </c>
      <c r="E5" s="19">
        <v>26295.0</v>
      </c>
      <c r="F5" s="20">
        <v>26486.0</v>
      </c>
      <c r="G5" s="20">
        <v>26651.0</v>
      </c>
      <c r="H5" s="20">
        <v>26787.0</v>
      </c>
      <c r="I5" s="20">
        <v>26914.0</v>
      </c>
      <c r="J5" s="20">
        <v>27028.0</v>
      </c>
      <c r="K5" s="20">
        <v>27145.0</v>
      </c>
      <c r="L5" s="20">
        <v>27279.0</v>
      </c>
      <c r="M5" s="19">
        <v>0.0</v>
      </c>
      <c r="N5" s="19">
        <v>0.0</v>
      </c>
      <c r="O5" s="19">
        <v>0.0</v>
      </c>
      <c r="P5" s="19">
        <v>0.0</v>
      </c>
      <c r="Q5" s="19">
        <v>0.0</v>
      </c>
      <c r="R5" s="23">
        <f>P5-O5</f>
        <v>0</v>
      </c>
      <c r="S5" s="3"/>
      <c r="T5" s="3"/>
      <c r="U5" s="3"/>
      <c r="V5" s="3"/>
      <c r="W5" s="3"/>
      <c r="X5" s="3"/>
      <c r="Y5" s="3"/>
      <c r="Z5" s="3"/>
    </row>
    <row r="6" ht="12.75" customHeight="1">
      <c r="A6" s="16" t="s">
        <v>85</v>
      </c>
      <c r="B6" s="16" t="s">
        <v>29</v>
      </c>
      <c r="C6" s="17" t="s">
        <v>87</v>
      </c>
      <c r="D6" s="18" t="s">
        <v>32</v>
      </c>
      <c r="E6" s="19">
        <v>1121.0</v>
      </c>
      <c r="F6" s="20">
        <v>1181.0</v>
      </c>
      <c r="G6" s="20">
        <v>1213.0</v>
      </c>
      <c r="H6" s="20">
        <v>1223.0</v>
      </c>
      <c r="I6" s="20">
        <v>1232.0</v>
      </c>
      <c r="J6" s="20">
        <v>1239.0</v>
      </c>
      <c r="K6" s="20">
        <v>1250.0</v>
      </c>
      <c r="L6" s="20">
        <v>1266.0</v>
      </c>
      <c r="M6" s="19">
        <v>0.0</v>
      </c>
      <c r="N6" s="19">
        <v>0.0</v>
      </c>
      <c r="O6" s="19">
        <v>0.0</v>
      </c>
      <c r="P6" s="19">
        <v>0.0</v>
      </c>
      <c r="Q6" s="19">
        <v>0.0</v>
      </c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16" t="s">
        <v>93</v>
      </c>
      <c r="B7" s="16" t="s">
        <v>70</v>
      </c>
      <c r="C7" s="24"/>
      <c r="D7" s="18" t="s">
        <v>32</v>
      </c>
      <c r="E7" s="19">
        <v>6263.0</v>
      </c>
      <c r="F7" s="20">
        <v>6267.0</v>
      </c>
      <c r="G7" s="20">
        <v>6271.0</v>
      </c>
      <c r="H7" s="20">
        <v>6275.0</v>
      </c>
      <c r="I7" s="20">
        <v>6278.0</v>
      </c>
      <c r="J7" s="20">
        <v>6282.0</v>
      </c>
      <c r="K7" s="20">
        <v>6287.0</v>
      </c>
      <c r="L7" s="20">
        <v>6295.0</v>
      </c>
      <c r="M7" s="19">
        <v>0.0</v>
      </c>
      <c r="N7" s="19">
        <v>0.0</v>
      </c>
      <c r="O7" s="19">
        <v>0.0</v>
      </c>
      <c r="P7" s="19">
        <v>0.0</v>
      </c>
      <c r="Q7" s="19">
        <v>0.0</v>
      </c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16" t="s">
        <v>101</v>
      </c>
      <c r="B8" s="16" t="s">
        <v>70</v>
      </c>
      <c r="C8" s="17"/>
      <c r="D8" s="18" t="s">
        <v>32</v>
      </c>
      <c r="E8" s="19">
        <v>17192.0</v>
      </c>
      <c r="F8" s="20">
        <v>17235.0</v>
      </c>
      <c r="G8" s="20">
        <v>17294.0</v>
      </c>
      <c r="H8" s="20">
        <v>17354.0</v>
      </c>
      <c r="I8" s="20">
        <v>17411.0</v>
      </c>
      <c r="J8" s="20">
        <v>17466.0</v>
      </c>
      <c r="K8" s="20">
        <v>17533.0</v>
      </c>
      <c r="L8" s="20">
        <v>17587.0</v>
      </c>
      <c r="M8" s="19">
        <v>0.0</v>
      </c>
      <c r="N8" s="19">
        <v>0.0</v>
      </c>
      <c r="O8" s="19">
        <v>0.0</v>
      </c>
      <c r="P8" s="19">
        <v>0.0</v>
      </c>
      <c r="Q8" s="19">
        <v>0.0</v>
      </c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16" t="s">
        <v>108</v>
      </c>
      <c r="B9" s="16" t="s">
        <v>6</v>
      </c>
      <c r="C9" s="17" t="s">
        <v>37</v>
      </c>
      <c r="D9" s="18" t="s">
        <v>32</v>
      </c>
      <c r="E9" s="19">
        <v>236359.0</v>
      </c>
      <c r="F9" s="20">
        <v>237372.0</v>
      </c>
      <c r="G9" s="20">
        <v>238287.0</v>
      </c>
      <c r="H9" s="20">
        <v>239210.0</v>
      </c>
      <c r="I9" s="20">
        <v>240109.0</v>
      </c>
      <c r="J9" s="20">
        <v>241130.0</v>
      </c>
      <c r="K9" s="20">
        <v>242236.0</v>
      </c>
      <c r="L9" s="20">
        <v>243450.0</v>
      </c>
      <c r="M9" s="19">
        <v>0.0</v>
      </c>
      <c r="N9" s="19">
        <v>0.0</v>
      </c>
      <c r="O9" s="19">
        <v>0.0</v>
      </c>
      <c r="P9" s="19">
        <v>0.0</v>
      </c>
      <c r="Q9" s="19">
        <v>0.0</v>
      </c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16" t="s">
        <v>113</v>
      </c>
      <c r="B10" s="16" t="s">
        <v>6</v>
      </c>
      <c r="C10" s="17" t="s">
        <v>114</v>
      </c>
      <c r="D10" s="18" t="s">
        <v>32</v>
      </c>
      <c r="E10" s="19">
        <v>74432.0</v>
      </c>
      <c r="F10" s="20">
        <v>75988.0</v>
      </c>
      <c r="G10" s="20">
        <v>77118.0</v>
      </c>
      <c r="H10" s="20">
        <v>77663.0</v>
      </c>
      <c r="I10" s="20">
        <v>78047.0</v>
      </c>
      <c r="J10" s="20">
        <v>78240.0</v>
      </c>
      <c r="K10" s="20">
        <v>78334.0</v>
      </c>
      <c r="L10" s="20">
        <v>78421.0</v>
      </c>
      <c r="M10" s="19">
        <v>0.0</v>
      </c>
      <c r="N10" s="19">
        <v>0.0</v>
      </c>
      <c r="O10" s="19">
        <v>0.0</v>
      </c>
      <c r="P10" s="19">
        <v>0.0</v>
      </c>
      <c r="Q10" s="19">
        <v>0.0</v>
      </c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16" t="s">
        <v>119</v>
      </c>
      <c r="B11" s="16" t="s">
        <v>6</v>
      </c>
      <c r="C11" s="17" t="s">
        <v>122</v>
      </c>
      <c r="D11" s="18" t="s">
        <v>32</v>
      </c>
      <c r="E11" s="19">
        <v>92807.0</v>
      </c>
      <c r="F11" s="20">
        <v>93170.0</v>
      </c>
      <c r="G11" s="20">
        <v>93467.0</v>
      </c>
      <c r="H11" s="20">
        <v>93742.0</v>
      </c>
      <c r="I11" s="20">
        <v>93966.0</v>
      </c>
      <c r="J11" s="20">
        <v>94172.0</v>
      </c>
      <c r="K11" s="20">
        <v>94345.0</v>
      </c>
      <c r="L11" s="20">
        <v>94551.0</v>
      </c>
      <c r="M11" s="19">
        <v>0.0</v>
      </c>
      <c r="N11" s="19">
        <v>0.0</v>
      </c>
      <c r="O11" s="19">
        <v>0.0</v>
      </c>
      <c r="P11" s="19">
        <v>0.0</v>
      </c>
      <c r="Q11" s="19">
        <v>0.0</v>
      </c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16" t="s">
        <v>128</v>
      </c>
      <c r="B12" s="16" t="s">
        <v>50</v>
      </c>
      <c r="C12" s="17" t="s">
        <v>129</v>
      </c>
      <c r="D12" s="18" t="s">
        <v>32</v>
      </c>
      <c r="E12" s="19">
        <v>232043.0</v>
      </c>
      <c r="F12" s="20">
        <v>232303.0</v>
      </c>
      <c r="G12" s="20">
        <v>232584.0</v>
      </c>
      <c r="H12" s="20">
        <v>232896.0</v>
      </c>
      <c r="I12" s="20">
        <v>233152.0</v>
      </c>
      <c r="J12" s="20">
        <v>233422.0</v>
      </c>
      <c r="K12" s="20">
        <v>233670.0</v>
      </c>
      <c r="L12" s="20">
        <v>233939.0</v>
      </c>
      <c r="M12" s="19">
        <v>0.0</v>
      </c>
      <c r="N12" s="19">
        <v>0.0</v>
      </c>
      <c r="O12" s="19">
        <v>0.0</v>
      </c>
      <c r="P12" s="19">
        <v>0.0</v>
      </c>
      <c r="Q12" s="19">
        <v>0.0</v>
      </c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16" t="s">
        <v>132</v>
      </c>
      <c r="B13" s="16" t="s">
        <v>61</v>
      </c>
      <c r="C13" s="17" t="s">
        <v>62</v>
      </c>
      <c r="D13" s="18" t="s">
        <v>32</v>
      </c>
      <c r="E13" s="19">
        <v>216546.0</v>
      </c>
      <c r="F13" s="20">
        <v>217254.0</v>
      </c>
      <c r="G13" s="20">
        <v>217823.0</v>
      </c>
      <c r="H13" s="20">
        <v>218444.0</v>
      </c>
      <c r="I13" s="20">
        <v>219005.0</v>
      </c>
      <c r="J13" s="20">
        <v>219616.0</v>
      </c>
      <c r="K13" s="20">
        <v>220249.0</v>
      </c>
      <c r="L13" s="20">
        <v>220904.0</v>
      </c>
      <c r="M13" s="19">
        <v>0.0</v>
      </c>
      <c r="N13" s="19">
        <v>0.0</v>
      </c>
      <c r="O13" s="19">
        <v>0.0</v>
      </c>
      <c r="P13" s="19">
        <v>0.0</v>
      </c>
      <c r="Q13" s="19">
        <v>0.0</v>
      </c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16" t="s">
        <v>147</v>
      </c>
      <c r="B14" s="16" t="s">
        <v>11</v>
      </c>
      <c r="C14" s="17"/>
      <c r="D14" s="18" t="s">
        <v>32</v>
      </c>
      <c r="E14" s="19">
        <v>47585.0</v>
      </c>
      <c r="F14" s="20">
        <v>47749.0</v>
      </c>
      <c r="G14" s="20">
        <v>47904.0</v>
      </c>
      <c r="H14" s="20">
        <v>48055.0</v>
      </c>
      <c r="I14" s="20">
        <v>48184.0</v>
      </c>
      <c r="J14" s="20">
        <v>48319.0</v>
      </c>
      <c r="K14" s="20">
        <v>48517.0</v>
      </c>
      <c r="L14" s="20">
        <v>48660.0</v>
      </c>
      <c r="M14" s="19">
        <v>0.0</v>
      </c>
      <c r="N14" s="19">
        <v>0.0</v>
      </c>
      <c r="O14" s="19">
        <v>0.0</v>
      </c>
      <c r="P14" s="19">
        <v>0.0</v>
      </c>
      <c r="Q14" s="19">
        <v>0.0</v>
      </c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16" t="s">
        <v>150</v>
      </c>
      <c r="B15" s="16" t="s">
        <v>11</v>
      </c>
      <c r="C15" s="17"/>
      <c r="D15" s="18" t="s">
        <v>32</v>
      </c>
      <c r="E15" s="19">
        <v>23741.0</v>
      </c>
      <c r="F15" s="20">
        <v>24192.0</v>
      </c>
      <c r="G15" s="20">
        <v>24521.0</v>
      </c>
      <c r="H15" s="20">
        <v>24984.0</v>
      </c>
      <c r="I15" s="20">
        <v>25343.0</v>
      </c>
      <c r="J15" s="20">
        <v>25585.0</v>
      </c>
      <c r="K15" s="20">
        <v>25701.0</v>
      </c>
      <c r="L15" s="20">
        <v>25813.0</v>
      </c>
      <c r="M15" s="19">
        <v>0.0</v>
      </c>
      <c r="N15" s="19">
        <v>0.0</v>
      </c>
      <c r="O15" s="19">
        <v>0.0</v>
      </c>
      <c r="P15" s="19">
        <v>0.0</v>
      </c>
      <c r="Q15" s="19">
        <v>0.0</v>
      </c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16" t="s">
        <v>151</v>
      </c>
      <c r="B16" s="16" t="s">
        <v>44</v>
      </c>
      <c r="C16" s="17"/>
      <c r="D16" s="18" t="s">
        <v>32</v>
      </c>
      <c r="E16" s="19">
        <v>12276.0</v>
      </c>
      <c r="F16" s="20">
        <v>12294.0</v>
      </c>
      <c r="G16" s="20">
        <v>12324.0</v>
      </c>
      <c r="H16" s="20">
        <v>12353.0</v>
      </c>
      <c r="I16" s="20">
        <v>12378.0</v>
      </c>
      <c r="J16" s="20">
        <v>12401.0</v>
      </c>
      <c r="K16" s="20">
        <v>12431.0</v>
      </c>
      <c r="L16" s="20">
        <v>12457.0</v>
      </c>
      <c r="M16" s="19">
        <v>0.0</v>
      </c>
      <c r="N16" s="19">
        <v>0.0</v>
      </c>
      <c r="O16" s="19">
        <v>0.0</v>
      </c>
      <c r="P16" s="19">
        <v>0.0</v>
      </c>
      <c r="Q16" s="19">
        <v>0.0</v>
      </c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16" t="s">
        <v>152</v>
      </c>
      <c r="B17" s="16" t="s">
        <v>3</v>
      </c>
      <c r="C17" s="17" t="s">
        <v>153</v>
      </c>
      <c r="D17" s="18" t="s">
        <v>32</v>
      </c>
      <c r="E17" s="19">
        <v>11764.0</v>
      </c>
      <c r="F17" s="20">
        <v>11764.0</v>
      </c>
      <c r="G17" s="20">
        <v>11764.0</v>
      </c>
      <c r="H17" s="20">
        <v>11764.0</v>
      </c>
      <c r="I17" s="20">
        <v>11764.0</v>
      </c>
      <c r="J17" s="20">
        <v>11764.0</v>
      </c>
      <c r="K17" s="20">
        <v>11764.0</v>
      </c>
      <c r="L17" s="20">
        <v>11764.0</v>
      </c>
      <c r="M17" s="19">
        <v>0.0</v>
      </c>
      <c r="N17" s="19">
        <v>0.0</v>
      </c>
      <c r="O17" s="19">
        <v>0.0</v>
      </c>
      <c r="P17" s="19">
        <v>0.0</v>
      </c>
      <c r="Q17" s="19">
        <v>0.0</v>
      </c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16" t="s">
        <v>154</v>
      </c>
      <c r="B18" s="16" t="s">
        <v>3</v>
      </c>
      <c r="C18" s="17"/>
      <c r="D18" s="18" t="s">
        <v>32</v>
      </c>
      <c r="E18" s="19">
        <v>8358.0</v>
      </c>
      <c r="F18" s="20">
        <v>8841.0</v>
      </c>
      <c r="G18" s="20">
        <v>9165.0</v>
      </c>
      <c r="H18" s="20">
        <v>9353.0</v>
      </c>
      <c r="I18" s="20">
        <v>9505.0</v>
      </c>
      <c r="J18" s="20">
        <v>9641.0</v>
      </c>
      <c r="K18" s="20">
        <v>9798.0</v>
      </c>
      <c r="L18" s="20">
        <v>9948.0</v>
      </c>
      <c r="M18" s="19">
        <v>0.0</v>
      </c>
      <c r="N18" s="19">
        <v>0.0</v>
      </c>
      <c r="O18" s="19">
        <v>0.0</v>
      </c>
      <c r="P18" s="19">
        <v>0.0</v>
      </c>
      <c r="Q18" s="19">
        <v>0.0</v>
      </c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16" t="s">
        <v>155</v>
      </c>
      <c r="B19" s="16" t="s">
        <v>15</v>
      </c>
      <c r="C19" s="17"/>
      <c r="D19" s="18" t="s">
        <v>32</v>
      </c>
      <c r="E19" s="19">
        <v>67268.0</v>
      </c>
      <c r="F19" s="20">
        <v>67450.0</v>
      </c>
      <c r="G19" s="20">
        <v>67625.0</v>
      </c>
      <c r="H19" s="20">
        <v>67795.0</v>
      </c>
      <c r="I19" s="20">
        <v>67938.0</v>
      </c>
      <c r="J19" s="20">
        <v>68115.0</v>
      </c>
      <c r="K19" s="20">
        <v>68300.0</v>
      </c>
      <c r="L19" s="20">
        <v>68494.0</v>
      </c>
      <c r="M19" s="19">
        <v>0.0</v>
      </c>
      <c r="N19" s="19">
        <v>0.0</v>
      </c>
      <c r="O19" s="19">
        <v>0.0</v>
      </c>
      <c r="P19" s="19">
        <v>0.0</v>
      </c>
      <c r="Q19" s="19">
        <v>0.0</v>
      </c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16" t="s">
        <v>157</v>
      </c>
      <c r="B20" s="16" t="s">
        <v>89</v>
      </c>
      <c r="C20" s="17" t="s">
        <v>158</v>
      </c>
      <c r="D20" s="18" t="s">
        <v>32</v>
      </c>
      <c r="E20" s="19">
        <v>124.0</v>
      </c>
      <c r="F20" s="20">
        <v>170.0</v>
      </c>
      <c r="G20" s="20">
        <v>215.0</v>
      </c>
      <c r="H20" s="20">
        <v>251.0</v>
      </c>
      <c r="I20" s="20">
        <v>282.0</v>
      </c>
      <c r="J20" s="20">
        <v>311.0</v>
      </c>
      <c r="K20" s="20">
        <v>333.0</v>
      </c>
      <c r="L20" s="20">
        <v>351.0</v>
      </c>
      <c r="M20" s="19">
        <v>0.0</v>
      </c>
      <c r="N20" s="19">
        <v>0.0</v>
      </c>
      <c r="O20" s="19">
        <v>0.0</v>
      </c>
      <c r="P20" s="19">
        <v>0.0</v>
      </c>
      <c r="Q20" s="19">
        <v>0.0</v>
      </c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16" t="s">
        <v>159</v>
      </c>
      <c r="B21" s="16" t="s">
        <v>78</v>
      </c>
      <c r="C21" s="17" t="s">
        <v>160</v>
      </c>
      <c r="D21" s="18" t="s">
        <v>32</v>
      </c>
      <c r="E21" s="19">
        <v>171.0</v>
      </c>
      <c r="F21" s="20">
        <v>233.0</v>
      </c>
      <c r="G21" s="20">
        <v>296.0</v>
      </c>
      <c r="H21" s="20">
        <v>365.0</v>
      </c>
      <c r="I21" s="20">
        <v>406.0</v>
      </c>
      <c r="J21" s="20">
        <v>438.0</v>
      </c>
      <c r="K21" s="20">
        <v>466.0</v>
      </c>
      <c r="L21" s="20">
        <v>476.0</v>
      </c>
      <c r="M21" s="19">
        <v>0.0</v>
      </c>
      <c r="N21" s="19">
        <v>0.0</v>
      </c>
      <c r="O21" s="19">
        <v>0.0</v>
      </c>
      <c r="P21" s="19">
        <v>0.0</v>
      </c>
      <c r="Q21" s="19">
        <v>0.0</v>
      </c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16" t="s">
        <v>161</v>
      </c>
      <c r="B22" s="16" t="s">
        <v>22</v>
      </c>
      <c r="C22" s="17" t="s">
        <v>162</v>
      </c>
      <c r="D22" s="18" t="s">
        <v>32</v>
      </c>
      <c r="E22" s="19">
        <v>0.0</v>
      </c>
      <c r="F22" s="20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16" t="s">
        <v>164</v>
      </c>
      <c r="B23" s="16" t="s">
        <v>74</v>
      </c>
      <c r="C23" s="17" t="s">
        <v>165</v>
      </c>
      <c r="D23" s="18" t="s">
        <v>32</v>
      </c>
      <c r="E23" s="19">
        <v>4059.0</v>
      </c>
      <c r="F23" s="20">
        <v>5741.0</v>
      </c>
      <c r="G23" s="20">
        <v>7240.0</v>
      </c>
      <c r="H23" s="20">
        <v>8428.0</v>
      </c>
      <c r="I23" s="20">
        <v>9628.0</v>
      </c>
      <c r="J23" s="20">
        <v>9868.0</v>
      </c>
      <c r="K23" s="20">
        <v>9947.0</v>
      </c>
      <c r="L23" s="20">
        <v>10020.0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16" t="s">
        <v>166</v>
      </c>
      <c r="B24" s="16" t="s">
        <v>29</v>
      </c>
      <c r="C24" s="17" t="s">
        <v>167</v>
      </c>
      <c r="D24" s="18" t="s">
        <v>32</v>
      </c>
      <c r="E24" s="19">
        <v>297.0</v>
      </c>
      <c r="F24" s="20">
        <v>338.0</v>
      </c>
      <c r="G24" s="20">
        <v>370.0</v>
      </c>
      <c r="H24" s="20">
        <v>400.0</v>
      </c>
      <c r="I24" s="20">
        <v>424.0</v>
      </c>
      <c r="J24" s="20">
        <v>447.0</v>
      </c>
      <c r="K24" s="20">
        <v>468.0</v>
      </c>
      <c r="L24" s="20">
        <v>490.0</v>
      </c>
      <c r="M24" s="19">
        <v>0.0</v>
      </c>
      <c r="N24" s="19">
        <v>0.0</v>
      </c>
      <c r="O24" s="19">
        <v>0.0</v>
      </c>
      <c r="P24" s="19">
        <v>0.0</v>
      </c>
      <c r="Q24" s="19">
        <v>0.0</v>
      </c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16" t="s">
        <v>168</v>
      </c>
      <c r="B25" s="16" t="s">
        <v>74</v>
      </c>
      <c r="C25" s="17" t="s">
        <v>169</v>
      </c>
      <c r="D25" s="18" t="s">
        <v>32</v>
      </c>
      <c r="E25" s="19">
        <v>139.0</v>
      </c>
      <c r="F25" s="20">
        <v>176.0</v>
      </c>
      <c r="G25" s="20">
        <v>213.0</v>
      </c>
      <c r="H25" s="20">
        <v>256.0</v>
      </c>
      <c r="I25" s="20">
        <v>297.0</v>
      </c>
      <c r="J25" s="20">
        <v>356.0</v>
      </c>
      <c r="K25" s="20">
        <v>414.0</v>
      </c>
      <c r="L25" s="20">
        <v>481.0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16" t="s">
        <v>170</v>
      </c>
      <c r="B26" s="16" t="s">
        <v>61</v>
      </c>
      <c r="C26" s="17" t="s">
        <v>171</v>
      </c>
      <c r="D26" s="18" t="s">
        <v>32</v>
      </c>
      <c r="E26" s="19">
        <v>287008.0</v>
      </c>
      <c r="F26" s="20">
        <v>287703.0</v>
      </c>
      <c r="G26" s="20">
        <v>288362.0</v>
      </c>
      <c r="H26" s="20">
        <v>289049.0</v>
      </c>
      <c r="I26" s="20">
        <v>289680.0</v>
      </c>
      <c r="J26" s="20">
        <v>290327.0</v>
      </c>
      <c r="K26" s="20">
        <v>291017.0</v>
      </c>
      <c r="L26" s="20">
        <v>291713.0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16" t="s">
        <v>172</v>
      </c>
      <c r="B27" s="16" t="s">
        <v>63</v>
      </c>
      <c r="C27" s="17"/>
      <c r="D27" s="18" t="s">
        <v>32</v>
      </c>
      <c r="E27" s="19">
        <v>11348.0</v>
      </c>
      <c r="F27" s="20">
        <v>11352.0</v>
      </c>
      <c r="G27" s="20">
        <v>11356.0</v>
      </c>
      <c r="H27" s="20">
        <v>11360.0</v>
      </c>
      <c r="I27" s="20">
        <v>11364.0</v>
      </c>
      <c r="J27" s="20">
        <v>11370.0</v>
      </c>
      <c r="K27" s="20">
        <v>11375.0</v>
      </c>
      <c r="L27" s="20">
        <v>11379.0</v>
      </c>
      <c r="M27" s="19">
        <v>0.0</v>
      </c>
      <c r="N27" s="19">
        <v>0.0</v>
      </c>
      <c r="O27" s="19">
        <v>0.0</v>
      </c>
      <c r="P27" s="19">
        <v>0.0</v>
      </c>
      <c r="Q27" s="19">
        <v>0.0</v>
      </c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16" t="s">
        <v>173</v>
      </c>
      <c r="B28" s="16" t="s">
        <v>63</v>
      </c>
      <c r="C28" s="17"/>
      <c r="D28" s="18" t="s">
        <v>32</v>
      </c>
      <c r="E28" s="19">
        <v>183101.0</v>
      </c>
      <c r="F28" s="20">
        <v>183494.0</v>
      </c>
      <c r="G28" s="20">
        <v>183866.0</v>
      </c>
      <c r="H28" s="20">
        <v>184576.0</v>
      </c>
      <c r="I28" s="20">
        <v>184873.0</v>
      </c>
      <c r="J28" s="20">
        <v>185582.0</v>
      </c>
      <c r="K28" s="20">
        <v>186198.0</v>
      </c>
      <c r="L28" s="20">
        <v>186631.0</v>
      </c>
      <c r="M28" s="19">
        <v>0.0</v>
      </c>
      <c r="N28" s="19">
        <v>0.0</v>
      </c>
      <c r="O28" s="19">
        <v>0.0</v>
      </c>
      <c r="P28" s="19">
        <v>0.0</v>
      </c>
      <c r="Q28" s="19">
        <v>0.0</v>
      </c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16" t="s">
        <v>174</v>
      </c>
      <c r="B29" s="16" t="s">
        <v>39</v>
      </c>
      <c r="C29" s="17" t="s">
        <v>175</v>
      </c>
      <c r="D29" s="18" t="s">
        <v>32</v>
      </c>
      <c r="E29" s="19">
        <v>1092.0</v>
      </c>
      <c r="F29" s="20">
        <v>1114.0</v>
      </c>
      <c r="G29" s="20">
        <v>1120.0</v>
      </c>
      <c r="H29" s="20">
        <v>1128.0</v>
      </c>
      <c r="I29" s="20">
        <v>1132.0</v>
      </c>
      <c r="J29" s="20">
        <v>1138.0</v>
      </c>
      <c r="K29" s="20">
        <v>1146.0</v>
      </c>
      <c r="L29" s="20">
        <v>1149.0</v>
      </c>
      <c r="M29" s="19">
        <v>0.0</v>
      </c>
      <c r="N29" s="19">
        <v>0.0</v>
      </c>
      <c r="O29" s="19">
        <v>0.0</v>
      </c>
      <c r="P29" s="19">
        <v>0.0</v>
      </c>
      <c r="Q29" s="19">
        <v>0.0</v>
      </c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16" t="s">
        <v>176</v>
      </c>
      <c r="B30" s="16" t="s">
        <v>6</v>
      </c>
      <c r="C30" s="17" t="s">
        <v>177</v>
      </c>
      <c r="D30" s="18" t="s">
        <v>32</v>
      </c>
      <c r="E30" s="19">
        <v>3877.0</v>
      </c>
      <c r="F30" s="20">
        <v>3877.0</v>
      </c>
      <c r="G30" s="20">
        <v>3877.0</v>
      </c>
      <c r="H30" s="20">
        <v>3877.0</v>
      </c>
      <c r="I30" s="20">
        <v>3877.0</v>
      </c>
      <c r="J30" s="20">
        <v>3877.0</v>
      </c>
      <c r="K30" s="20">
        <v>3877.0</v>
      </c>
      <c r="L30" s="20">
        <v>3877.0</v>
      </c>
      <c r="M30" s="19">
        <v>0.0</v>
      </c>
      <c r="N30" s="19">
        <v>0.0</v>
      </c>
      <c r="O30" s="19">
        <v>0.0</v>
      </c>
      <c r="P30" s="19">
        <v>0.0</v>
      </c>
      <c r="Q30" s="19">
        <v>0.0</v>
      </c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16" t="s">
        <v>178</v>
      </c>
      <c r="B31" s="16" t="s">
        <v>70</v>
      </c>
      <c r="C31" s="17"/>
      <c r="D31" s="18" t="s">
        <v>32</v>
      </c>
      <c r="E31" s="19">
        <v>5656.0</v>
      </c>
      <c r="F31" s="20">
        <v>5746.0</v>
      </c>
      <c r="G31" s="20">
        <v>5827.0</v>
      </c>
      <c r="H31" s="20">
        <v>5911.0</v>
      </c>
      <c r="I31" s="20">
        <v>6008.0</v>
      </c>
      <c r="J31" s="20">
        <v>6096.0</v>
      </c>
      <c r="K31" s="20">
        <v>6197.0</v>
      </c>
      <c r="L31" s="20">
        <v>6333.0</v>
      </c>
      <c r="M31" s="19">
        <v>0.0</v>
      </c>
      <c r="N31" s="19">
        <v>0.0</v>
      </c>
      <c r="O31" s="19">
        <v>0.0</v>
      </c>
      <c r="P31" s="19">
        <v>0.0</v>
      </c>
      <c r="Q31" s="19">
        <v>0.0</v>
      </c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16" t="s">
        <v>179</v>
      </c>
      <c r="B32" s="16" t="s">
        <v>48</v>
      </c>
      <c r="C32" s="17" t="s">
        <v>180</v>
      </c>
      <c r="D32" s="18" t="s">
        <v>32</v>
      </c>
      <c r="E32" s="19">
        <v>22656.0</v>
      </c>
      <c r="F32" s="20">
        <v>22669.0</v>
      </c>
      <c r="G32" s="20">
        <v>22685.0</v>
      </c>
      <c r="H32" s="20">
        <v>22695.0</v>
      </c>
      <c r="I32" s="20">
        <v>22706.0</v>
      </c>
      <c r="J32" s="20">
        <v>22714.0</v>
      </c>
      <c r="K32" s="20">
        <v>22724.0</v>
      </c>
      <c r="L32" s="20">
        <v>22732.0</v>
      </c>
      <c r="M32" s="19">
        <v>0.0</v>
      </c>
      <c r="N32" s="19">
        <v>0.0</v>
      </c>
      <c r="O32" s="19">
        <v>0.0</v>
      </c>
      <c r="P32" s="19">
        <v>0.0</v>
      </c>
      <c r="Q32" s="19">
        <v>0.0</v>
      </c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16" t="s">
        <v>181</v>
      </c>
      <c r="B33" s="16" t="s">
        <v>6</v>
      </c>
      <c r="C33" s="17" t="s">
        <v>182</v>
      </c>
      <c r="D33" s="18" t="s">
        <v>32</v>
      </c>
      <c r="E33" s="19">
        <v>4851.0</v>
      </c>
      <c r="F33" s="20">
        <v>4942.0</v>
      </c>
      <c r="G33" s="20">
        <v>5028.0</v>
      </c>
      <c r="H33" s="20">
        <v>5113.0</v>
      </c>
      <c r="I33" s="20">
        <v>5198.0</v>
      </c>
      <c r="J33" s="20">
        <v>5276.0</v>
      </c>
      <c r="K33" s="20">
        <v>5333.0</v>
      </c>
      <c r="L33" s="20">
        <v>5378.0</v>
      </c>
      <c r="M33" s="19">
        <v>0.0</v>
      </c>
      <c r="N33" s="19">
        <v>0.0</v>
      </c>
      <c r="O33" s="19">
        <v>0.0</v>
      </c>
      <c r="P33" s="19">
        <v>0.0</v>
      </c>
      <c r="Q33" s="19">
        <v>0.0</v>
      </c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16" t="s">
        <v>183</v>
      </c>
      <c r="B34" s="16" t="s">
        <v>6</v>
      </c>
      <c r="C34" s="17" t="s">
        <v>184</v>
      </c>
      <c r="D34" s="18" t="s">
        <v>32</v>
      </c>
      <c r="E34" s="19">
        <v>18740.0</v>
      </c>
      <c r="F34" s="20">
        <v>19144.0</v>
      </c>
      <c r="G34" s="20">
        <v>19495.0</v>
      </c>
      <c r="H34" s="20">
        <v>19788.0</v>
      </c>
      <c r="I34" s="20">
        <v>19969.0</v>
      </c>
      <c r="J34" s="20">
        <v>20145.0</v>
      </c>
      <c r="K34" s="20">
        <v>20332.0</v>
      </c>
      <c r="L34" s="20">
        <v>20482.0</v>
      </c>
      <c r="M34" s="19">
        <v>0.0</v>
      </c>
      <c r="N34" s="19">
        <v>0.0</v>
      </c>
      <c r="O34" s="19">
        <v>0.0</v>
      </c>
      <c r="P34" s="19">
        <v>0.0</v>
      </c>
      <c r="Q34" s="19">
        <v>0.0</v>
      </c>
      <c r="R34" s="2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16" t="s">
        <v>186</v>
      </c>
      <c r="B35" s="16" t="s">
        <v>70</v>
      </c>
      <c r="C35" s="17" t="s">
        <v>187</v>
      </c>
      <c r="D35" s="18" t="s">
        <v>32</v>
      </c>
      <c r="E35" s="20">
        <v>1074.0</v>
      </c>
      <c r="F35" s="20">
        <v>1170.0</v>
      </c>
      <c r="G35" s="20">
        <v>1229.0</v>
      </c>
      <c r="H35" s="20">
        <v>1294.0</v>
      </c>
      <c r="I35" s="20">
        <v>1349.0</v>
      </c>
      <c r="J35" s="20">
        <v>1400.0</v>
      </c>
      <c r="K35" s="20">
        <v>1453.0</v>
      </c>
      <c r="L35" s="20">
        <v>1499.0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16" t="s">
        <v>190</v>
      </c>
      <c r="B36" s="16" t="s">
        <v>61</v>
      </c>
      <c r="C36" s="17"/>
      <c r="D36" s="18" t="s">
        <v>32</v>
      </c>
      <c r="E36" s="19">
        <v>258496.0</v>
      </c>
      <c r="F36" s="20">
        <v>259652.0</v>
      </c>
      <c r="G36" s="20">
        <v>260778.0</v>
      </c>
      <c r="H36" s="20">
        <v>261839.0</v>
      </c>
      <c r="I36" s="20">
        <v>262739.0</v>
      </c>
      <c r="J36" s="20">
        <v>263584.0</v>
      </c>
      <c r="K36" s="20">
        <v>264403.0</v>
      </c>
      <c r="L36" s="20">
        <v>265241.0</v>
      </c>
      <c r="M36" s="19">
        <v>0.0</v>
      </c>
      <c r="N36" s="19">
        <v>0.0</v>
      </c>
      <c r="O36" s="19">
        <v>0.0</v>
      </c>
      <c r="P36" s="19">
        <v>0.0</v>
      </c>
      <c r="Q36" s="19">
        <v>0.0</v>
      </c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16" t="s">
        <v>193</v>
      </c>
      <c r="B37" s="16" t="s">
        <v>72</v>
      </c>
      <c r="C37" s="17" t="s">
        <v>194</v>
      </c>
      <c r="D37" s="18" t="s">
        <v>32</v>
      </c>
      <c r="E37" s="19">
        <v>7888.0</v>
      </c>
      <c r="F37" s="20">
        <v>8008.0</v>
      </c>
      <c r="G37" s="20">
        <v>8099.0</v>
      </c>
      <c r="H37" s="20">
        <v>8169.0</v>
      </c>
      <c r="I37" s="20">
        <v>8236.0</v>
      </c>
      <c r="J37" s="20">
        <v>8256.0</v>
      </c>
      <c r="K37" s="20">
        <v>8260.0</v>
      </c>
      <c r="L37" s="20">
        <v>8262.0</v>
      </c>
      <c r="M37" s="19">
        <v>0.0</v>
      </c>
      <c r="N37" s="19">
        <v>0.0</v>
      </c>
      <c r="O37" s="19">
        <v>0.0</v>
      </c>
      <c r="P37" s="19">
        <v>0.0</v>
      </c>
      <c r="Q37" s="19">
        <v>0.0</v>
      </c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16" t="s">
        <v>197</v>
      </c>
      <c r="B38" s="16" t="s">
        <v>6</v>
      </c>
      <c r="C38" s="17" t="s">
        <v>199</v>
      </c>
      <c r="D38" s="18" t="s">
        <v>32</v>
      </c>
      <c r="E38" s="19">
        <v>137678.0</v>
      </c>
      <c r="F38" s="20">
        <v>137856.0</v>
      </c>
      <c r="G38" s="20">
        <v>138021.0</v>
      </c>
      <c r="H38" s="20">
        <v>138211.0</v>
      </c>
      <c r="I38" s="20">
        <v>138356.0</v>
      </c>
      <c r="J38" s="20">
        <v>138480.0</v>
      </c>
      <c r="K38" s="20">
        <v>138554.0</v>
      </c>
      <c r="L38" s="20">
        <v>138644.0</v>
      </c>
      <c r="M38" s="19">
        <v>0.0</v>
      </c>
      <c r="N38" s="19">
        <v>0.0</v>
      </c>
      <c r="O38" s="19">
        <v>0.0</v>
      </c>
      <c r="P38" s="19">
        <v>0.0</v>
      </c>
      <c r="Q38" s="19">
        <v>0.0</v>
      </c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16" t="s">
        <v>200</v>
      </c>
      <c r="B39" s="16" t="s">
        <v>22</v>
      </c>
      <c r="C39" s="17"/>
      <c r="D39" s="18" t="s">
        <v>32</v>
      </c>
      <c r="E39" s="19">
        <v>43051.0</v>
      </c>
      <c r="F39" s="20">
        <v>43276.0</v>
      </c>
      <c r="G39" s="20">
        <v>43476.0</v>
      </c>
      <c r="H39" s="20">
        <v>43682.0</v>
      </c>
      <c r="I39" s="20">
        <v>43873.0</v>
      </c>
      <c r="J39" s="20">
        <v>44086.0</v>
      </c>
      <c r="K39" s="20">
        <v>44309.0</v>
      </c>
      <c r="L39" s="20">
        <v>44551.0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16" t="s">
        <v>201</v>
      </c>
      <c r="B40" s="16" t="s">
        <v>59</v>
      </c>
      <c r="C40" s="17"/>
      <c r="D40" s="18" t="s">
        <v>32</v>
      </c>
      <c r="E40" s="19">
        <v>7939.0</v>
      </c>
      <c r="F40" s="20">
        <v>8070.0</v>
      </c>
      <c r="G40" s="20">
        <v>8105.0</v>
      </c>
      <c r="H40" s="20">
        <v>8169.0</v>
      </c>
      <c r="I40" s="20">
        <v>8172.0</v>
      </c>
      <c r="J40" s="20">
        <v>8196.0</v>
      </c>
      <c r="K40" s="20">
        <v>8243.0</v>
      </c>
      <c r="L40" s="20">
        <v>8260.0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16" t="s">
        <v>202</v>
      </c>
      <c r="B41" s="16" t="s">
        <v>72</v>
      </c>
      <c r="C41" s="17"/>
      <c r="D41" s="18" t="s">
        <v>32</v>
      </c>
      <c r="E41" s="19">
        <v>39756.0</v>
      </c>
      <c r="F41" s="20">
        <v>39822.0</v>
      </c>
      <c r="G41" s="20">
        <v>39831.0</v>
      </c>
      <c r="H41" s="20">
        <v>39837.0</v>
      </c>
      <c r="I41" s="20">
        <v>39840.0</v>
      </c>
      <c r="J41" s="20">
        <v>39841.0</v>
      </c>
      <c r="K41" s="20">
        <v>39842.0</v>
      </c>
      <c r="L41" s="20">
        <v>39844.0</v>
      </c>
      <c r="M41" s="19">
        <v>0.0</v>
      </c>
      <c r="N41" s="19">
        <v>0.0</v>
      </c>
      <c r="O41" s="19">
        <v>0.0</v>
      </c>
      <c r="P41" s="19">
        <v>0.0</v>
      </c>
      <c r="Q41" s="19">
        <v>0.0</v>
      </c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16" t="s">
        <v>203</v>
      </c>
      <c r="B42" s="16" t="s">
        <v>84</v>
      </c>
      <c r="C42" s="17"/>
      <c r="D42" s="18" t="s">
        <v>32</v>
      </c>
      <c r="E42" s="19">
        <v>61.0</v>
      </c>
      <c r="F42" s="20">
        <v>77.0</v>
      </c>
      <c r="G42" s="20">
        <v>77.0</v>
      </c>
      <c r="H42" s="20">
        <v>78.0</v>
      </c>
      <c r="I42" s="20">
        <v>78.0</v>
      </c>
      <c r="J42" s="20">
        <v>78.0</v>
      </c>
      <c r="K42" s="20">
        <v>78.0</v>
      </c>
      <c r="L42" s="20">
        <v>78.0</v>
      </c>
      <c r="M42" s="19">
        <v>0.0</v>
      </c>
      <c r="N42" s="19">
        <v>0.0</v>
      </c>
      <c r="O42" s="19">
        <v>0.0</v>
      </c>
      <c r="P42" s="19">
        <v>0.0</v>
      </c>
      <c r="Q42" s="19">
        <v>0.0</v>
      </c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16" t="s">
        <v>204</v>
      </c>
      <c r="B43" s="16" t="s">
        <v>61</v>
      </c>
      <c r="C43" s="17" t="s">
        <v>205</v>
      </c>
      <c r="D43" s="18" t="s">
        <v>32</v>
      </c>
      <c r="E43" s="19">
        <v>358478.0</v>
      </c>
      <c r="F43" s="20">
        <v>359985.0</v>
      </c>
      <c r="G43" s="20">
        <v>361557.0</v>
      </c>
      <c r="H43" s="20">
        <v>363053.0</v>
      </c>
      <c r="I43" s="20">
        <v>364592.0</v>
      </c>
      <c r="J43" s="20">
        <v>366265.0</v>
      </c>
      <c r="K43" s="20">
        <v>367914.0</v>
      </c>
      <c r="L43" s="20">
        <v>369437.0</v>
      </c>
      <c r="M43" s="19">
        <v>0.0</v>
      </c>
      <c r="N43" s="19">
        <v>0.0</v>
      </c>
      <c r="O43" s="19">
        <v>0.0</v>
      </c>
      <c r="P43" s="19">
        <v>0.0</v>
      </c>
      <c r="Q43" s="19">
        <v>0.0</v>
      </c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16" t="s">
        <v>206</v>
      </c>
      <c r="B44" s="16" t="s">
        <v>70</v>
      </c>
      <c r="C44" s="17" t="s">
        <v>124</v>
      </c>
      <c r="D44" s="18" t="s">
        <v>32</v>
      </c>
      <c r="E44" s="19">
        <v>124591.0</v>
      </c>
      <c r="F44" s="20">
        <v>124633.0</v>
      </c>
      <c r="G44" s="20">
        <v>124699.0</v>
      </c>
      <c r="H44" s="20">
        <v>124741.0</v>
      </c>
      <c r="I44" s="20">
        <v>124779.0</v>
      </c>
      <c r="J44" s="20">
        <v>124852.0</v>
      </c>
      <c r="K44" s="20">
        <v>124893.0</v>
      </c>
      <c r="L44" s="20">
        <v>124936.0</v>
      </c>
      <c r="M44" s="19">
        <v>0.0</v>
      </c>
      <c r="N44" s="19">
        <v>0.0</v>
      </c>
      <c r="O44" s="19">
        <v>0.0</v>
      </c>
      <c r="P44" s="19">
        <v>0.0</v>
      </c>
      <c r="Q44" s="19">
        <v>0.0</v>
      </c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16" t="s">
        <v>207</v>
      </c>
      <c r="B45" s="16" t="s">
        <v>39</v>
      </c>
      <c r="C45" s="17" t="s">
        <v>208</v>
      </c>
      <c r="D45" s="18" t="s">
        <v>32</v>
      </c>
      <c r="E45" s="19">
        <v>56462.0</v>
      </c>
      <c r="F45" s="20">
        <v>60762.0</v>
      </c>
      <c r="G45" s="20">
        <v>64326.0</v>
      </c>
      <c r="H45" s="20">
        <v>66900.0</v>
      </c>
      <c r="I45" s="20">
        <v>69059.0</v>
      </c>
      <c r="J45" s="20">
        <v>71044.0</v>
      </c>
      <c r="K45" s="20">
        <v>73132.0</v>
      </c>
      <c r="L45" s="20">
        <v>75248.0</v>
      </c>
      <c r="M45" s="19">
        <v>0.0</v>
      </c>
      <c r="N45" s="19">
        <v>0.0</v>
      </c>
      <c r="O45" s="19">
        <v>0.0</v>
      </c>
      <c r="P45" s="19">
        <v>0.0</v>
      </c>
      <c r="Q45" s="19">
        <v>0.0</v>
      </c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16" t="s">
        <v>209</v>
      </c>
      <c r="B46" s="16" t="s">
        <v>39</v>
      </c>
      <c r="C46" s="17" t="s">
        <v>208</v>
      </c>
      <c r="D46" s="18" t="s">
        <v>32</v>
      </c>
      <c r="E46" s="19">
        <v>144095.0</v>
      </c>
      <c r="F46" s="20">
        <v>154945.0</v>
      </c>
      <c r="G46" s="20">
        <v>164442.0</v>
      </c>
      <c r="H46" s="20">
        <v>173010.0</v>
      </c>
      <c r="I46" s="20">
        <v>179614.0</v>
      </c>
      <c r="J46" s="20">
        <v>184342.0</v>
      </c>
      <c r="K46" s="20">
        <v>189360.0</v>
      </c>
      <c r="L46" s="20">
        <v>194619.0</v>
      </c>
      <c r="M46" s="19">
        <v>0.0</v>
      </c>
      <c r="N46" s="19">
        <v>0.0</v>
      </c>
      <c r="O46" s="19">
        <v>0.0</v>
      </c>
      <c r="P46" s="19">
        <v>0.0</v>
      </c>
      <c r="Q46" s="19">
        <v>0.0</v>
      </c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16" t="s">
        <v>210</v>
      </c>
      <c r="B47" s="44" t="s">
        <v>74</v>
      </c>
      <c r="C47" s="17" t="s">
        <v>211</v>
      </c>
      <c r="D47" s="18" t="s">
        <v>32</v>
      </c>
      <c r="E47" s="19">
        <v>0.0</v>
      </c>
      <c r="F47" s="19">
        <v>0.0</v>
      </c>
      <c r="G47" s="19">
        <v>0.0</v>
      </c>
      <c r="H47" s="19">
        <v>0.0</v>
      </c>
      <c r="I47" s="19">
        <v>0.0</v>
      </c>
      <c r="J47" s="19">
        <v>0.0</v>
      </c>
      <c r="K47" s="19">
        <v>0.0</v>
      </c>
      <c r="L47" s="19">
        <v>0.0</v>
      </c>
      <c r="M47" s="19">
        <v>0.0</v>
      </c>
      <c r="N47" s="19">
        <v>0.0</v>
      </c>
      <c r="O47" s="19">
        <v>0.0</v>
      </c>
      <c r="P47" s="19">
        <v>0.0</v>
      </c>
      <c r="Q47" s="19">
        <v>0.0</v>
      </c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16" t="s">
        <v>212</v>
      </c>
      <c r="B48" s="16" t="s">
        <v>6</v>
      </c>
      <c r="C48" s="17" t="s">
        <v>131</v>
      </c>
      <c r="D48" s="18" t="s">
        <v>32</v>
      </c>
      <c r="E48" s="19">
        <v>0.0</v>
      </c>
      <c r="F48" s="19">
        <v>0.0</v>
      </c>
      <c r="G48" s="19">
        <v>0.0</v>
      </c>
      <c r="H48" s="19">
        <v>0.0</v>
      </c>
      <c r="I48" s="19">
        <v>0.0</v>
      </c>
      <c r="J48" s="19">
        <v>0.0</v>
      </c>
      <c r="K48" s="19">
        <v>0.0</v>
      </c>
      <c r="L48" s="19">
        <v>0.0</v>
      </c>
      <c r="M48" s="19">
        <v>0.0</v>
      </c>
      <c r="N48" s="19">
        <v>0.0</v>
      </c>
      <c r="O48" s="19">
        <v>0.0</v>
      </c>
      <c r="P48" s="19">
        <v>0.0</v>
      </c>
      <c r="Q48" s="19">
        <v>0.0</v>
      </c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45"/>
      <c r="B49" s="45"/>
      <c r="C49" s="45"/>
      <c r="D49" s="45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46" t="s">
        <v>133</v>
      </c>
      <c r="B50" s="46" t="s">
        <v>9</v>
      </c>
      <c r="C50" s="46" t="s">
        <v>10</v>
      </c>
      <c r="D50" s="46" t="s">
        <v>134</v>
      </c>
      <c r="E50" s="47" t="s">
        <v>135</v>
      </c>
      <c r="F50" s="47" t="s">
        <v>136</v>
      </c>
      <c r="G50" s="47" t="s">
        <v>137</v>
      </c>
      <c r="H50" s="47" t="s">
        <v>138</v>
      </c>
      <c r="I50" s="47" t="s">
        <v>139</v>
      </c>
      <c r="J50" s="47" t="s">
        <v>149</v>
      </c>
      <c r="K50" s="47" t="s">
        <v>141</v>
      </c>
      <c r="L50" s="47" t="s">
        <v>140</v>
      </c>
      <c r="M50" s="47" t="s">
        <v>143</v>
      </c>
      <c r="N50" s="47" t="s">
        <v>144</v>
      </c>
      <c r="O50" s="47" t="s">
        <v>145</v>
      </c>
      <c r="P50" s="47" t="s">
        <v>146</v>
      </c>
      <c r="Q50" s="46" t="s">
        <v>148</v>
      </c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48" t="str">
        <f t="shared" ref="A51:A95" si="2">$A2</f>
        <v>E_A1</v>
      </c>
      <c r="B51" s="48" t="str">
        <f t="shared" ref="B51:B93" si="3">B2</f>
        <v>Leoš DUDA</v>
      </c>
      <c r="C51" s="49"/>
      <c r="D51" s="50">
        <v>1.0</v>
      </c>
      <c r="E51" s="50">
        <f t="shared" ref="E51:P51" si="1">$D51*IF(F2=0,0,(F2-E2))</f>
        <v>218</v>
      </c>
      <c r="F51" s="50">
        <f t="shared" si="1"/>
        <v>207</v>
      </c>
      <c r="G51" s="50">
        <f t="shared" si="1"/>
        <v>224</v>
      </c>
      <c r="H51" s="50">
        <f t="shared" si="1"/>
        <v>277</v>
      </c>
      <c r="I51" s="50">
        <f t="shared" si="1"/>
        <v>293</v>
      </c>
      <c r="J51" s="50">
        <f t="shared" si="1"/>
        <v>389</v>
      </c>
      <c r="K51" s="50">
        <f t="shared" si="1"/>
        <v>481</v>
      </c>
      <c r="L51" s="50">
        <f t="shared" si="1"/>
        <v>0</v>
      </c>
      <c r="M51" s="50">
        <f t="shared" si="1"/>
        <v>0</v>
      </c>
      <c r="N51" s="50">
        <f t="shared" si="1"/>
        <v>0</v>
      </c>
      <c r="O51" s="50">
        <f t="shared" si="1"/>
        <v>0</v>
      </c>
      <c r="P51" s="50">
        <f t="shared" si="1"/>
        <v>0</v>
      </c>
      <c r="Q51" s="51">
        <v>46204.0</v>
      </c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48" t="str">
        <f t="shared" si="2"/>
        <v>E_A2</v>
      </c>
      <c r="B52" s="48" t="str">
        <f t="shared" si="3"/>
        <v>MEON EMS FM, s. r. o.</v>
      </c>
      <c r="C52" s="49"/>
      <c r="D52" s="50">
        <v>1.0</v>
      </c>
      <c r="E52" s="50">
        <f t="shared" ref="E52:P52" si="4">$D52*IF(F3=0,0,(F3-E3))</f>
        <v>47</v>
      </c>
      <c r="F52" s="50">
        <f t="shared" si="4"/>
        <v>37</v>
      </c>
      <c r="G52" s="50">
        <f t="shared" si="4"/>
        <v>32</v>
      </c>
      <c r="H52" s="50">
        <f t="shared" si="4"/>
        <v>27</v>
      </c>
      <c r="I52" s="50">
        <f t="shared" si="4"/>
        <v>47</v>
      </c>
      <c r="J52" s="50">
        <f t="shared" si="4"/>
        <v>71</v>
      </c>
      <c r="K52" s="50">
        <f t="shared" si="4"/>
        <v>63</v>
      </c>
      <c r="L52" s="50">
        <f t="shared" si="4"/>
        <v>0</v>
      </c>
      <c r="M52" s="50">
        <f t="shared" si="4"/>
        <v>0</v>
      </c>
      <c r="N52" s="50">
        <f t="shared" si="4"/>
        <v>0</v>
      </c>
      <c r="O52" s="50">
        <f t="shared" si="4"/>
        <v>0</v>
      </c>
      <c r="P52" s="50">
        <f t="shared" si="4"/>
        <v>0</v>
      </c>
      <c r="Q52" s="52">
        <f t="shared" ref="Q52:Q97" si="6">Q$51</f>
        <v>46204</v>
      </c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48" t="str">
        <f t="shared" si="2"/>
        <v>E_A3</v>
      </c>
      <c r="B53" s="48" t="str">
        <f t="shared" si="3"/>
        <v>MEON EMS FM, s. r. o.</v>
      </c>
      <c r="C53" s="49"/>
      <c r="D53" s="50">
        <v>1.0</v>
      </c>
      <c r="E53" s="50">
        <f t="shared" ref="E53:P53" si="5">$D53*IF(F4=0,0,(F4-E4))</f>
        <v>5</v>
      </c>
      <c r="F53" s="50">
        <f t="shared" si="5"/>
        <v>3</v>
      </c>
      <c r="G53" s="50">
        <f t="shared" si="5"/>
        <v>2</v>
      </c>
      <c r="H53" s="50">
        <f t="shared" si="5"/>
        <v>3</v>
      </c>
      <c r="I53" s="50">
        <f t="shared" si="5"/>
        <v>3</v>
      </c>
      <c r="J53" s="50">
        <f t="shared" si="5"/>
        <v>2</v>
      </c>
      <c r="K53" s="50">
        <f t="shared" si="5"/>
        <v>1</v>
      </c>
      <c r="L53" s="50">
        <f t="shared" si="5"/>
        <v>0</v>
      </c>
      <c r="M53" s="50">
        <f t="shared" si="5"/>
        <v>0</v>
      </c>
      <c r="N53" s="50">
        <f t="shared" si="5"/>
        <v>0</v>
      </c>
      <c r="O53" s="50">
        <f t="shared" si="5"/>
        <v>0</v>
      </c>
      <c r="P53" s="50">
        <f t="shared" si="5"/>
        <v>0</v>
      </c>
      <c r="Q53" s="52">
        <f t="shared" si="6"/>
        <v>46204</v>
      </c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48" t="str">
        <f t="shared" si="2"/>
        <v>E_A4</v>
      </c>
      <c r="B54" s="48" t="str">
        <f t="shared" si="3"/>
        <v>TENAUR, s. r. o.</v>
      </c>
      <c r="C54" s="53" t="s">
        <v>29</v>
      </c>
      <c r="D54" s="50">
        <v>1.0</v>
      </c>
      <c r="E54" s="50">
        <f t="shared" ref="E54:P54" si="7">$D54*IF(F5=0,0,(F5-E5))-E55</f>
        <v>131</v>
      </c>
      <c r="F54" s="50">
        <f t="shared" si="7"/>
        <v>133</v>
      </c>
      <c r="G54" s="50">
        <f t="shared" si="7"/>
        <v>126</v>
      </c>
      <c r="H54" s="50">
        <f t="shared" si="7"/>
        <v>118</v>
      </c>
      <c r="I54" s="50">
        <f t="shared" si="7"/>
        <v>107</v>
      </c>
      <c r="J54" s="50">
        <f t="shared" si="7"/>
        <v>106</v>
      </c>
      <c r="K54" s="50">
        <f t="shared" si="7"/>
        <v>118</v>
      </c>
      <c r="L54" s="50">
        <f t="shared" si="7"/>
        <v>0</v>
      </c>
      <c r="M54" s="50">
        <f t="shared" si="7"/>
        <v>0</v>
      </c>
      <c r="N54" s="50">
        <f t="shared" si="7"/>
        <v>0</v>
      </c>
      <c r="O54" s="50">
        <f t="shared" si="7"/>
        <v>0</v>
      </c>
      <c r="P54" s="50">
        <f t="shared" si="7"/>
        <v>0</v>
      </c>
      <c r="Q54" s="52">
        <f t="shared" si="6"/>
        <v>46204</v>
      </c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48" t="str">
        <f t="shared" si="2"/>
        <v>E_A4KLIMA</v>
      </c>
      <c r="B55" s="48" t="str">
        <f t="shared" si="3"/>
        <v>výpočet</v>
      </c>
      <c r="C55" s="53" t="str">
        <f>C6</f>
        <v>klima - MARCOMPLEX/Artalo/Projekt</v>
      </c>
      <c r="D55" s="50">
        <v>1.0</v>
      </c>
      <c r="E55" s="50">
        <f t="shared" ref="E55:P55" si="8">$D55*IF(F6=0,0,(F6-E6))</f>
        <v>60</v>
      </c>
      <c r="F55" s="50">
        <f t="shared" si="8"/>
        <v>32</v>
      </c>
      <c r="G55" s="50">
        <f t="shared" si="8"/>
        <v>10</v>
      </c>
      <c r="H55" s="50">
        <f t="shared" si="8"/>
        <v>9</v>
      </c>
      <c r="I55" s="50">
        <f t="shared" si="8"/>
        <v>7</v>
      </c>
      <c r="J55" s="50">
        <f t="shared" si="8"/>
        <v>11</v>
      </c>
      <c r="K55" s="50">
        <f t="shared" si="8"/>
        <v>16</v>
      </c>
      <c r="L55" s="50">
        <f t="shared" si="8"/>
        <v>0</v>
      </c>
      <c r="M55" s="50">
        <f t="shared" si="8"/>
        <v>0</v>
      </c>
      <c r="N55" s="50">
        <f t="shared" si="8"/>
        <v>0</v>
      </c>
      <c r="O55" s="50">
        <f t="shared" si="8"/>
        <v>0</v>
      </c>
      <c r="P55" s="50">
        <f t="shared" si="8"/>
        <v>0</v>
      </c>
      <c r="Q55" s="52">
        <f t="shared" si="6"/>
        <v>46204</v>
      </c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48" t="str">
        <f t="shared" si="2"/>
        <v>E_A5</v>
      </c>
      <c r="B56" s="48" t="str">
        <f t="shared" si="3"/>
        <v>TENAUR, s. r. o.</v>
      </c>
      <c r="C56" s="49"/>
      <c r="D56" s="50">
        <v>1.0</v>
      </c>
      <c r="E56" s="50">
        <f t="shared" ref="E56:P56" si="9">$D56*IF(F7=0,0,(F7-E7))</f>
        <v>4</v>
      </c>
      <c r="F56" s="50">
        <f t="shared" si="9"/>
        <v>4</v>
      </c>
      <c r="G56" s="50">
        <f t="shared" si="9"/>
        <v>4</v>
      </c>
      <c r="H56" s="50">
        <f t="shared" si="9"/>
        <v>3</v>
      </c>
      <c r="I56" s="50">
        <f t="shared" si="9"/>
        <v>4</v>
      </c>
      <c r="J56" s="50">
        <f t="shared" si="9"/>
        <v>5</v>
      </c>
      <c r="K56" s="50">
        <f t="shared" si="9"/>
        <v>8</v>
      </c>
      <c r="L56" s="50">
        <f t="shared" si="9"/>
        <v>0</v>
      </c>
      <c r="M56" s="50">
        <f t="shared" si="9"/>
        <v>0</v>
      </c>
      <c r="N56" s="50">
        <f t="shared" si="9"/>
        <v>0</v>
      </c>
      <c r="O56" s="50">
        <f t="shared" si="9"/>
        <v>0</v>
      </c>
      <c r="P56" s="50">
        <f t="shared" si="9"/>
        <v>0</v>
      </c>
      <c r="Q56" s="52">
        <f t="shared" si="6"/>
        <v>46204</v>
      </c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48" t="str">
        <f t="shared" si="2"/>
        <v>E_A6</v>
      </c>
      <c r="B57" s="48" t="str">
        <f t="shared" si="3"/>
        <v>TENAUR, s. r. o.</v>
      </c>
      <c r="C57" s="49"/>
      <c r="D57" s="50">
        <v>1.0</v>
      </c>
      <c r="E57" s="50">
        <f t="shared" ref="E57:P57" si="10">$D57*IF(F8=0,0,(F8-E8))</f>
        <v>43</v>
      </c>
      <c r="F57" s="50">
        <f t="shared" si="10"/>
        <v>59</v>
      </c>
      <c r="G57" s="50">
        <f t="shared" si="10"/>
        <v>60</v>
      </c>
      <c r="H57" s="50">
        <f t="shared" si="10"/>
        <v>57</v>
      </c>
      <c r="I57" s="50">
        <f t="shared" si="10"/>
        <v>55</v>
      </c>
      <c r="J57" s="50">
        <f t="shared" si="10"/>
        <v>67</v>
      </c>
      <c r="K57" s="50">
        <f t="shared" si="10"/>
        <v>54</v>
      </c>
      <c r="L57" s="50">
        <f t="shared" si="10"/>
        <v>0</v>
      </c>
      <c r="M57" s="50">
        <f t="shared" si="10"/>
        <v>0</v>
      </c>
      <c r="N57" s="50">
        <f t="shared" si="10"/>
        <v>0</v>
      </c>
      <c r="O57" s="50">
        <f t="shared" si="10"/>
        <v>0</v>
      </c>
      <c r="P57" s="50">
        <f t="shared" si="10"/>
        <v>0</v>
      </c>
      <c r="Q57" s="52">
        <f t="shared" si="6"/>
        <v>46204</v>
      </c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48" t="str">
        <f t="shared" si="2"/>
        <v>E_A7</v>
      </c>
      <c r="B58" s="48" t="str">
        <f t="shared" si="3"/>
        <v>CSE</v>
      </c>
      <c r="C58" s="53" t="s">
        <v>29</v>
      </c>
      <c r="D58" s="50">
        <v>1.0</v>
      </c>
      <c r="E58" s="50">
        <f t="shared" ref="E58:P58" si="11">$D58*IF(F9=0,0,(F9-E9))-SUM(E51:E57)</f>
        <v>505</v>
      </c>
      <c r="F58" s="50">
        <f t="shared" si="11"/>
        <v>440</v>
      </c>
      <c r="G58" s="50">
        <f t="shared" si="11"/>
        <v>465</v>
      </c>
      <c r="H58" s="50">
        <f t="shared" si="11"/>
        <v>405</v>
      </c>
      <c r="I58" s="50">
        <f t="shared" si="11"/>
        <v>505</v>
      </c>
      <c r="J58" s="50">
        <f t="shared" si="11"/>
        <v>455</v>
      </c>
      <c r="K58" s="50">
        <f t="shared" si="11"/>
        <v>473</v>
      </c>
      <c r="L58" s="50">
        <f t="shared" si="11"/>
        <v>0</v>
      </c>
      <c r="M58" s="50">
        <f t="shared" si="11"/>
        <v>0</v>
      </c>
      <c r="N58" s="50">
        <f t="shared" si="11"/>
        <v>0</v>
      </c>
      <c r="O58" s="50">
        <f t="shared" si="11"/>
        <v>0</v>
      </c>
      <c r="P58" s="50">
        <f t="shared" si="11"/>
        <v>0</v>
      </c>
      <c r="Q58" s="52">
        <f t="shared" si="6"/>
        <v>46204</v>
      </c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48" t="str">
        <f t="shared" si="2"/>
        <v>E_A8</v>
      </c>
      <c r="B59" s="48" t="str">
        <f t="shared" si="3"/>
        <v>CSE</v>
      </c>
      <c r="C59" s="49"/>
      <c r="D59" s="50">
        <v>1.0</v>
      </c>
      <c r="E59" s="50">
        <f t="shared" ref="E59:P59" si="12">$D59*IF(F10=0,0,(F10-E10))</f>
        <v>1556</v>
      </c>
      <c r="F59" s="50">
        <f t="shared" si="12"/>
        <v>1130</v>
      </c>
      <c r="G59" s="50">
        <f t="shared" si="12"/>
        <v>545</v>
      </c>
      <c r="H59" s="50">
        <f t="shared" si="12"/>
        <v>384</v>
      </c>
      <c r="I59" s="50">
        <f t="shared" si="12"/>
        <v>193</v>
      </c>
      <c r="J59" s="50">
        <f t="shared" si="12"/>
        <v>94</v>
      </c>
      <c r="K59" s="50">
        <f t="shared" si="12"/>
        <v>87</v>
      </c>
      <c r="L59" s="50">
        <f t="shared" si="12"/>
        <v>0</v>
      </c>
      <c r="M59" s="50">
        <f t="shared" si="12"/>
        <v>0</v>
      </c>
      <c r="N59" s="50">
        <f t="shared" si="12"/>
        <v>0</v>
      </c>
      <c r="O59" s="50">
        <f t="shared" si="12"/>
        <v>0</v>
      </c>
      <c r="P59" s="50">
        <f t="shared" si="12"/>
        <v>0</v>
      </c>
      <c r="Q59" s="52">
        <f t="shared" si="6"/>
        <v>46204</v>
      </c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48" t="str">
        <f t="shared" si="2"/>
        <v>E_A9</v>
      </c>
      <c r="B60" s="48" t="str">
        <f t="shared" si="3"/>
        <v>CSE</v>
      </c>
      <c r="C60" s="49"/>
      <c r="D60" s="50">
        <v>1.0</v>
      </c>
      <c r="E60" s="50">
        <f t="shared" ref="E60:P60" si="13">$D60*IF(F11=0,0,(F11-E11))</f>
        <v>363</v>
      </c>
      <c r="F60" s="50">
        <f t="shared" si="13"/>
        <v>297</v>
      </c>
      <c r="G60" s="50">
        <f t="shared" si="13"/>
        <v>275</v>
      </c>
      <c r="H60" s="50">
        <f t="shared" si="13"/>
        <v>224</v>
      </c>
      <c r="I60" s="50">
        <f t="shared" si="13"/>
        <v>206</v>
      </c>
      <c r="J60" s="50">
        <f t="shared" si="13"/>
        <v>173</v>
      </c>
      <c r="K60" s="50">
        <f t="shared" si="13"/>
        <v>206</v>
      </c>
      <c r="L60" s="50">
        <f t="shared" si="13"/>
        <v>0</v>
      </c>
      <c r="M60" s="50">
        <f t="shared" si="13"/>
        <v>0</v>
      </c>
      <c r="N60" s="50">
        <f t="shared" si="13"/>
        <v>0</v>
      </c>
      <c r="O60" s="50">
        <f t="shared" si="13"/>
        <v>0</v>
      </c>
      <c r="P60" s="50">
        <f t="shared" si="13"/>
        <v>0</v>
      </c>
      <c r="Q60" s="52">
        <f t="shared" si="6"/>
        <v>46204</v>
      </c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48" t="str">
        <f t="shared" si="2"/>
        <v>E_B1</v>
      </c>
      <c r="B61" s="48" t="str">
        <f t="shared" si="3"/>
        <v>Moravec Enterprises s. r. o.</v>
      </c>
      <c r="C61" s="49"/>
      <c r="D61" s="50">
        <v>1.0</v>
      </c>
      <c r="E61" s="50">
        <f t="shared" ref="E61:P61" si="14">$D61*IF(F12=0,0,(F12-E12))</f>
        <v>260</v>
      </c>
      <c r="F61" s="50">
        <f t="shared" si="14"/>
        <v>281</v>
      </c>
      <c r="G61" s="50">
        <f t="shared" si="14"/>
        <v>312</v>
      </c>
      <c r="H61" s="50">
        <f t="shared" si="14"/>
        <v>256</v>
      </c>
      <c r="I61" s="50">
        <f t="shared" si="14"/>
        <v>270</v>
      </c>
      <c r="J61" s="50">
        <f t="shared" si="14"/>
        <v>248</v>
      </c>
      <c r="K61" s="50">
        <f t="shared" si="14"/>
        <v>269</v>
      </c>
      <c r="L61" s="50">
        <f t="shared" si="14"/>
        <v>0</v>
      </c>
      <c r="M61" s="50">
        <f t="shared" si="14"/>
        <v>0</v>
      </c>
      <c r="N61" s="50">
        <f t="shared" si="14"/>
        <v>0</v>
      </c>
      <c r="O61" s="50">
        <f t="shared" si="14"/>
        <v>0</v>
      </c>
      <c r="P61" s="50">
        <f t="shared" si="14"/>
        <v>0</v>
      </c>
      <c r="Q61" s="52">
        <f t="shared" si="6"/>
        <v>46204</v>
      </c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48" t="str">
        <f t="shared" si="2"/>
        <v>E_B2</v>
      </c>
      <c r="B62" s="48" t="str">
        <f t="shared" si="3"/>
        <v>PTÁČEK-velkoobchod, a.s</v>
      </c>
      <c r="C62" s="49"/>
      <c r="D62" s="50">
        <v>1.0</v>
      </c>
      <c r="E62" s="50">
        <f t="shared" ref="E62:P62" si="15">$D62*IF(F13=0,0,(F13-E13))</f>
        <v>708</v>
      </c>
      <c r="F62" s="50">
        <f t="shared" si="15"/>
        <v>569</v>
      </c>
      <c r="G62" s="50">
        <f t="shared" si="15"/>
        <v>621</v>
      </c>
      <c r="H62" s="50">
        <f t="shared" si="15"/>
        <v>561</v>
      </c>
      <c r="I62" s="50">
        <f t="shared" si="15"/>
        <v>611</v>
      </c>
      <c r="J62" s="50">
        <f t="shared" si="15"/>
        <v>633</v>
      </c>
      <c r="K62" s="50">
        <f t="shared" si="15"/>
        <v>655</v>
      </c>
      <c r="L62" s="50">
        <f t="shared" si="15"/>
        <v>0</v>
      </c>
      <c r="M62" s="50">
        <f t="shared" si="15"/>
        <v>0</v>
      </c>
      <c r="N62" s="50">
        <f t="shared" si="15"/>
        <v>0</v>
      </c>
      <c r="O62" s="50">
        <f t="shared" si="15"/>
        <v>0</v>
      </c>
      <c r="P62" s="50">
        <f t="shared" si="15"/>
        <v>0</v>
      </c>
      <c r="Q62" s="52">
        <f t="shared" si="6"/>
        <v>46204</v>
      </c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48" t="str">
        <f t="shared" si="2"/>
        <v>E_B3</v>
      </c>
      <c r="B63" s="48" t="str">
        <f t="shared" si="3"/>
        <v>Fitclub Cross Body MT s. r. o.</v>
      </c>
      <c r="C63" s="49"/>
      <c r="D63" s="50">
        <v>1.0</v>
      </c>
      <c r="E63" s="50">
        <f t="shared" ref="E63:P63" si="16">$D63*IF(F14=0,0,(F14-E14))</f>
        <v>164</v>
      </c>
      <c r="F63" s="50">
        <f t="shared" si="16"/>
        <v>155</v>
      </c>
      <c r="G63" s="50">
        <f t="shared" si="16"/>
        <v>151</v>
      </c>
      <c r="H63" s="50">
        <f t="shared" si="16"/>
        <v>129</v>
      </c>
      <c r="I63" s="50">
        <f t="shared" si="16"/>
        <v>135</v>
      </c>
      <c r="J63" s="50">
        <f t="shared" si="16"/>
        <v>198</v>
      </c>
      <c r="K63" s="50">
        <f t="shared" si="16"/>
        <v>143</v>
      </c>
      <c r="L63" s="50">
        <f t="shared" si="16"/>
        <v>0</v>
      </c>
      <c r="M63" s="50">
        <f t="shared" si="16"/>
        <v>0</v>
      </c>
      <c r="N63" s="50">
        <f t="shared" si="16"/>
        <v>0</v>
      </c>
      <c r="O63" s="50">
        <f t="shared" si="16"/>
        <v>0</v>
      </c>
      <c r="P63" s="50">
        <f t="shared" si="16"/>
        <v>0</v>
      </c>
      <c r="Q63" s="52">
        <f t="shared" si="6"/>
        <v>46204</v>
      </c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48" t="str">
        <f t="shared" si="2"/>
        <v>E_B3A</v>
      </c>
      <c r="B64" s="48" t="str">
        <f t="shared" si="3"/>
        <v>Fitclub Cross Body MT s. r. o.</v>
      </c>
      <c r="C64" s="49"/>
      <c r="D64" s="50">
        <v>1.0</v>
      </c>
      <c r="E64" s="50">
        <f t="shared" ref="E64:P64" si="17">$D64*IF(F15=0,0,(F15-E15))</f>
        <v>451</v>
      </c>
      <c r="F64" s="50">
        <f t="shared" si="17"/>
        <v>329</v>
      </c>
      <c r="G64" s="50">
        <f t="shared" si="17"/>
        <v>463</v>
      </c>
      <c r="H64" s="50">
        <f t="shared" si="17"/>
        <v>359</v>
      </c>
      <c r="I64" s="50">
        <f t="shared" si="17"/>
        <v>242</v>
      </c>
      <c r="J64" s="50">
        <f t="shared" si="17"/>
        <v>116</v>
      </c>
      <c r="K64" s="50">
        <f t="shared" si="17"/>
        <v>112</v>
      </c>
      <c r="L64" s="50">
        <f t="shared" si="17"/>
        <v>0</v>
      </c>
      <c r="M64" s="50">
        <f t="shared" si="17"/>
        <v>0</v>
      </c>
      <c r="N64" s="50">
        <f t="shared" si="17"/>
        <v>0</v>
      </c>
      <c r="O64" s="50">
        <f t="shared" si="17"/>
        <v>0</v>
      </c>
      <c r="P64" s="50">
        <f t="shared" si="17"/>
        <v>0</v>
      </c>
      <c r="Q64" s="52">
        <f t="shared" si="6"/>
        <v>46204</v>
      </c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48" t="str">
        <f t="shared" si="2"/>
        <v>E_B4</v>
      </c>
      <c r="B65" s="48" t="str">
        <f t="shared" si="3"/>
        <v>Milan BOLGÁČ</v>
      </c>
      <c r="C65" s="49"/>
      <c r="D65" s="50">
        <v>1.0</v>
      </c>
      <c r="E65" s="50">
        <f t="shared" ref="E65:P65" si="18">$D65*IF(F16=0,0,(F16-E16))</f>
        <v>18</v>
      </c>
      <c r="F65" s="50">
        <f t="shared" si="18"/>
        <v>30</v>
      </c>
      <c r="G65" s="50">
        <f t="shared" si="18"/>
        <v>29</v>
      </c>
      <c r="H65" s="50">
        <f t="shared" si="18"/>
        <v>25</v>
      </c>
      <c r="I65" s="50">
        <f t="shared" si="18"/>
        <v>23</v>
      </c>
      <c r="J65" s="50">
        <f t="shared" si="18"/>
        <v>30</v>
      </c>
      <c r="K65" s="50">
        <f t="shared" si="18"/>
        <v>26</v>
      </c>
      <c r="L65" s="50">
        <f t="shared" si="18"/>
        <v>0</v>
      </c>
      <c r="M65" s="50">
        <f t="shared" si="18"/>
        <v>0</v>
      </c>
      <c r="N65" s="50">
        <f t="shared" si="18"/>
        <v>0</v>
      </c>
      <c r="O65" s="50">
        <f t="shared" si="18"/>
        <v>0</v>
      </c>
      <c r="P65" s="50">
        <f t="shared" si="18"/>
        <v>0</v>
      </c>
      <c r="Q65" s="52">
        <f t="shared" si="6"/>
        <v>46204</v>
      </c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48" t="str">
        <f t="shared" si="2"/>
        <v>E_B5</v>
      </c>
      <c r="B66" s="48" t="str">
        <f t="shared" si="3"/>
        <v>Artalo design s. r. o.</v>
      </c>
      <c r="C66" s="49"/>
      <c r="D66" s="50">
        <v>1.0</v>
      </c>
      <c r="E66" s="50">
        <f t="shared" ref="E66:P66" si="19">$D66*IF(F17=0,0,(F17-E17))</f>
        <v>0</v>
      </c>
      <c r="F66" s="50">
        <f t="shared" si="19"/>
        <v>0</v>
      </c>
      <c r="G66" s="50">
        <f t="shared" si="19"/>
        <v>0</v>
      </c>
      <c r="H66" s="50">
        <f t="shared" si="19"/>
        <v>0</v>
      </c>
      <c r="I66" s="50">
        <f t="shared" si="19"/>
        <v>0</v>
      </c>
      <c r="J66" s="50">
        <f t="shared" si="19"/>
        <v>0</v>
      </c>
      <c r="K66" s="50">
        <f t="shared" si="19"/>
        <v>0</v>
      </c>
      <c r="L66" s="50">
        <f t="shared" si="19"/>
        <v>0</v>
      </c>
      <c r="M66" s="50">
        <f t="shared" si="19"/>
        <v>0</v>
      </c>
      <c r="N66" s="50">
        <f t="shared" si="19"/>
        <v>0</v>
      </c>
      <c r="O66" s="50">
        <f t="shared" si="19"/>
        <v>0</v>
      </c>
      <c r="P66" s="50">
        <f t="shared" si="19"/>
        <v>0</v>
      </c>
      <c r="Q66" s="52">
        <f t="shared" si="6"/>
        <v>46204</v>
      </c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48" t="str">
        <f t="shared" si="2"/>
        <v>E_B5A</v>
      </c>
      <c r="B67" s="48" t="str">
        <f t="shared" si="3"/>
        <v>Artalo design s. r. o.</v>
      </c>
      <c r="C67" s="49"/>
      <c r="D67" s="50">
        <v>1.0</v>
      </c>
      <c r="E67" s="50">
        <f t="shared" ref="E67:P67" si="20">$D67*IF(F18=0,0,(F18-E18))</f>
        <v>483</v>
      </c>
      <c r="F67" s="50">
        <f t="shared" si="20"/>
        <v>324</v>
      </c>
      <c r="G67" s="50">
        <f t="shared" si="20"/>
        <v>188</v>
      </c>
      <c r="H67" s="50">
        <f t="shared" si="20"/>
        <v>152</v>
      </c>
      <c r="I67" s="50">
        <f t="shared" si="20"/>
        <v>136</v>
      </c>
      <c r="J67" s="50">
        <f t="shared" si="20"/>
        <v>157</v>
      </c>
      <c r="K67" s="50">
        <f t="shared" si="20"/>
        <v>150</v>
      </c>
      <c r="L67" s="50">
        <f t="shared" si="20"/>
        <v>0</v>
      </c>
      <c r="M67" s="50">
        <f t="shared" si="20"/>
        <v>0</v>
      </c>
      <c r="N67" s="50">
        <f t="shared" si="20"/>
        <v>0</v>
      </c>
      <c r="O67" s="50">
        <f t="shared" si="20"/>
        <v>0</v>
      </c>
      <c r="P67" s="50">
        <f t="shared" si="20"/>
        <v>0</v>
      </c>
      <c r="Q67" s="52">
        <f t="shared" si="6"/>
        <v>46204</v>
      </c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48" t="str">
        <f t="shared" si="2"/>
        <v>E_B6</v>
      </c>
      <c r="B68" s="48" t="str">
        <f t="shared" si="3"/>
        <v>GENERAL ARMY spol. s r. o.</v>
      </c>
      <c r="C68" s="49"/>
      <c r="D68" s="50">
        <v>1.0</v>
      </c>
      <c r="E68" s="50">
        <f t="shared" ref="E68:P68" si="21">$D68*IF(F19=0,0,(F19-E19))</f>
        <v>182</v>
      </c>
      <c r="F68" s="50">
        <f t="shared" si="21"/>
        <v>175</v>
      </c>
      <c r="G68" s="50">
        <f t="shared" si="21"/>
        <v>170</v>
      </c>
      <c r="H68" s="50">
        <f t="shared" si="21"/>
        <v>143</v>
      </c>
      <c r="I68" s="50">
        <f t="shared" si="21"/>
        <v>177</v>
      </c>
      <c r="J68" s="50">
        <f t="shared" si="21"/>
        <v>185</v>
      </c>
      <c r="K68" s="50">
        <f t="shared" si="21"/>
        <v>194</v>
      </c>
      <c r="L68" s="50">
        <f t="shared" si="21"/>
        <v>0</v>
      </c>
      <c r="M68" s="50">
        <f t="shared" si="21"/>
        <v>0</v>
      </c>
      <c r="N68" s="50">
        <f t="shared" si="21"/>
        <v>0</v>
      </c>
      <c r="O68" s="50">
        <f t="shared" si="21"/>
        <v>0</v>
      </c>
      <c r="P68" s="50">
        <f t="shared" si="21"/>
        <v>0</v>
      </c>
      <c r="Q68" s="52">
        <f t="shared" si="6"/>
        <v>46204</v>
      </c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48" t="str">
        <f t="shared" si="2"/>
        <v>E_D1</v>
      </c>
      <c r="B69" s="48" t="str">
        <f t="shared" si="3"/>
        <v>Vodama technology s.r.o.</v>
      </c>
      <c r="C69" s="53" t="s">
        <v>216</v>
      </c>
      <c r="D69" s="50">
        <v>1.0</v>
      </c>
      <c r="E69" s="50">
        <f t="shared" ref="E69:P69" si="22">$D69*IF(F20=0,0,(F20-E20))-E73</f>
        <v>5</v>
      </c>
      <c r="F69" s="50">
        <f t="shared" si="22"/>
        <v>13</v>
      </c>
      <c r="G69" s="50">
        <f t="shared" si="22"/>
        <v>6</v>
      </c>
      <c r="H69" s="50">
        <f t="shared" si="22"/>
        <v>7</v>
      </c>
      <c r="I69" s="50">
        <f t="shared" si="22"/>
        <v>6</v>
      </c>
      <c r="J69" s="50">
        <f t="shared" si="22"/>
        <v>1</v>
      </c>
      <c r="K69" s="50">
        <f t="shared" si="22"/>
        <v>-4</v>
      </c>
      <c r="L69" s="50">
        <f t="shared" si="22"/>
        <v>0</v>
      </c>
      <c r="M69" s="50">
        <f t="shared" si="22"/>
        <v>0</v>
      </c>
      <c r="N69" s="50">
        <f t="shared" si="22"/>
        <v>0</v>
      </c>
      <c r="O69" s="50">
        <f t="shared" si="22"/>
        <v>0</v>
      </c>
      <c r="P69" s="50">
        <f t="shared" si="22"/>
        <v>0</v>
      </c>
      <c r="Q69" s="52">
        <f t="shared" si="6"/>
        <v>46204</v>
      </c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48" t="str">
        <f t="shared" si="2"/>
        <v>E_D2</v>
      </c>
      <c r="B70" s="48" t="str">
        <f t="shared" si="3"/>
        <v>TŠ JUST DANCE</v>
      </c>
      <c r="C70" s="49"/>
      <c r="D70" s="50">
        <v>1.0</v>
      </c>
      <c r="E70" s="50">
        <f t="shared" ref="E70:P70" si="23">$D70*IF(F21=0,0,(F21-E21))</f>
        <v>62</v>
      </c>
      <c r="F70" s="50">
        <f t="shared" si="23"/>
        <v>63</v>
      </c>
      <c r="G70" s="50">
        <f t="shared" si="23"/>
        <v>69</v>
      </c>
      <c r="H70" s="50">
        <f t="shared" si="23"/>
        <v>41</v>
      </c>
      <c r="I70" s="50">
        <f t="shared" si="23"/>
        <v>32</v>
      </c>
      <c r="J70" s="50">
        <f t="shared" si="23"/>
        <v>28</v>
      </c>
      <c r="K70" s="50">
        <f t="shared" si="23"/>
        <v>10</v>
      </c>
      <c r="L70" s="50">
        <f t="shared" si="23"/>
        <v>0</v>
      </c>
      <c r="M70" s="50">
        <f t="shared" si="23"/>
        <v>0</v>
      </c>
      <c r="N70" s="50">
        <f t="shared" si="23"/>
        <v>0</v>
      </c>
      <c r="O70" s="50">
        <f t="shared" si="23"/>
        <v>0</v>
      </c>
      <c r="P70" s="50">
        <f t="shared" si="23"/>
        <v>0</v>
      </c>
      <c r="Q70" s="52">
        <f t="shared" si="6"/>
        <v>46204</v>
      </c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48" t="str">
        <f t="shared" si="2"/>
        <v>E_D3</v>
      </c>
      <c r="B71" s="48" t="str">
        <f t="shared" si="3"/>
        <v>Ing. Roman CHAMRAD - SHIVA SHOP</v>
      </c>
      <c r="C71" s="64"/>
      <c r="D71" s="50">
        <v>1.0</v>
      </c>
      <c r="E71" s="50">
        <f t="shared" ref="E71:P71" si="24">$D71*IF(F22=0,0,(F22-E22))</f>
        <v>0</v>
      </c>
      <c r="F71" s="50">
        <f t="shared" si="24"/>
        <v>0</v>
      </c>
      <c r="G71" s="50">
        <f t="shared" si="24"/>
        <v>0</v>
      </c>
      <c r="H71" s="50">
        <f t="shared" si="24"/>
        <v>0</v>
      </c>
      <c r="I71" s="50">
        <f t="shared" si="24"/>
        <v>0</v>
      </c>
      <c r="J71" s="50">
        <f t="shared" si="24"/>
        <v>0</v>
      </c>
      <c r="K71" s="50">
        <f t="shared" si="24"/>
        <v>0</v>
      </c>
      <c r="L71" s="50">
        <f t="shared" si="24"/>
        <v>0</v>
      </c>
      <c r="M71" s="50">
        <f t="shared" si="24"/>
        <v>0</v>
      </c>
      <c r="N71" s="50">
        <f t="shared" si="24"/>
        <v>0</v>
      </c>
      <c r="O71" s="50">
        <f t="shared" si="24"/>
        <v>0</v>
      </c>
      <c r="P71" s="50">
        <f t="shared" si="24"/>
        <v>0</v>
      </c>
      <c r="Q71" s="52">
        <f t="shared" si="6"/>
        <v>46204</v>
      </c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48" t="str">
        <f t="shared" si="2"/>
        <v>E_D_VS</v>
      </c>
      <c r="B72" s="48" t="str">
        <f t="shared" si="3"/>
        <v>společná spotřeba</v>
      </c>
      <c r="C72" s="64"/>
      <c r="D72" s="65">
        <v>1.0</v>
      </c>
      <c r="E72" s="50">
        <f t="shared" ref="E72:M72" si="25">$D72*IF(F23=0,0,(F23-E23))</f>
        <v>1682</v>
      </c>
      <c r="F72" s="50">
        <f t="shared" si="25"/>
        <v>1499</v>
      </c>
      <c r="G72" s="50">
        <f t="shared" si="25"/>
        <v>1188</v>
      </c>
      <c r="H72" s="50">
        <f t="shared" si="25"/>
        <v>1200</v>
      </c>
      <c r="I72" s="50">
        <f t="shared" si="25"/>
        <v>240</v>
      </c>
      <c r="J72" s="50">
        <f t="shared" si="25"/>
        <v>79</v>
      </c>
      <c r="K72" s="50">
        <f t="shared" si="25"/>
        <v>73</v>
      </c>
      <c r="L72" s="50">
        <f t="shared" si="25"/>
        <v>0</v>
      </c>
      <c r="M72" s="50">
        <f t="shared" si="25"/>
        <v>0</v>
      </c>
      <c r="N72" s="50">
        <v>0.0</v>
      </c>
      <c r="O72" s="50">
        <f t="shared" ref="O72:P72" si="26">$D72*IF(P23=0,0,(P23-O23))</f>
        <v>0</v>
      </c>
      <c r="P72" s="50">
        <f t="shared" si="26"/>
        <v>0</v>
      </c>
      <c r="Q72" s="52">
        <f t="shared" si="6"/>
        <v>46204</v>
      </c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48" t="str">
        <f t="shared" si="2"/>
        <v>E_D_BOJLER</v>
      </c>
      <c r="B73" s="48" t="str">
        <f t="shared" si="3"/>
        <v>výpočet</v>
      </c>
      <c r="C73" s="53"/>
      <c r="D73" s="65">
        <v>1.0</v>
      </c>
      <c r="E73" s="50">
        <f t="shared" ref="E73:P73" si="27">$D73*IF(F24=0,0,(F24-E24))</f>
        <v>41</v>
      </c>
      <c r="F73" s="50">
        <f t="shared" si="27"/>
        <v>32</v>
      </c>
      <c r="G73" s="50">
        <f t="shared" si="27"/>
        <v>30</v>
      </c>
      <c r="H73" s="50">
        <f t="shared" si="27"/>
        <v>24</v>
      </c>
      <c r="I73" s="50">
        <f t="shared" si="27"/>
        <v>23</v>
      </c>
      <c r="J73" s="50">
        <f t="shared" si="27"/>
        <v>21</v>
      </c>
      <c r="K73" s="50">
        <f t="shared" si="27"/>
        <v>22</v>
      </c>
      <c r="L73" s="50">
        <f t="shared" si="27"/>
        <v>0</v>
      </c>
      <c r="M73" s="50">
        <f t="shared" si="27"/>
        <v>0</v>
      </c>
      <c r="N73" s="50">
        <f t="shared" si="27"/>
        <v>0</v>
      </c>
      <c r="O73" s="50">
        <f t="shared" si="27"/>
        <v>0</v>
      </c>
      <c r="P73" s="50">
        <f t="shared" si="27"/>
        <v>0</v>
      </c>
      <c r="Q73" s="52">
        <f t="shared" si="6"/>
        <v>46204</v>
      </c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48" t="str">
        <f t="shared" si="2"/>
        <v>E_D_SPOL</v>
      </c>
      <c r="B74" s="48" t="str">
        <f t="shared" si="3"/>
        <v>společná spotřeba</v>
      </c>
      <c r="C74" s="53"/>
      <c r="D74" s="65">
        <v>1.0</v>
      </c>
      <c r="E74" s="50">
        <f t="shared" ref="E74:P74" si="28">$D74*IF(F25=0,0,(F25-E25))</f>
        <v>37</v>
      </c>
      <c r="F74" s="50">
        <f t="shared" si="28"/>
        <v>37</v>
      </c>
      <c r="G74" s="50">
        <f t="shared" si="28"/>
        <v>43</v>
      </c>
      <c r="H74" s="50">
        <f t="shared" si="28"/>
        <v>41</v>
      </c>
      <c r="I74" s="50">
        <f t="shared" si="28"/>
        <v>59</v>
      </c>
      <c r="J74" s="50">
        <f t="shared" si="28"/>
        <v>58</v>
      </c>
      <c r="K74" s="50">
        <f t="shared" si="28"/>
        <v>67</v>
      </c>
      <c r="L74" s="50">
        <f t="shared" si="28"/>
        <v>0</v>
      </c>
      <c r="M74" s="50">
        <f t="shared" si="28"/>
        <v>0</v>
      </c>
      <c r="N74" s="50">
        <f t="shared" si="28"/>
        <v>0</v>
      </c>
      <c r="O74" s="50">
        <f t="shared" si="28"/>
        <v>0</v>
      </c>
      <c r="P74" s="50">
        <f t="shared" si="28"/>
        <v>0</v>
      </c>
      <c r="Q74" s="52">
        <f t="shared" si="6"/>
        <v>46204</v>
      </c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48" t="str">
        <f t="shared" si="2"/>
        <v>E_E1</v>
      </c>
      <c r="B75" s="48" t="str">
        <f t="shared" si="3"/>
        <v>PTÁČEK-velkoobchod, a.s</v>
      </c>
      <c r="C75" s="49"/>
      <c r="D75" s="50">
        <v>1.0</v>
      </c>
      <c r="E75" s="50">
        <f t="shared" ref="E75:P75" si="29">$D75*IF(F26=0,0,(F26-E26))</f>
        <v>695</v>
      </c>
      <c r="F75" s="50">
        <f t="shared" si="29"/>
        <v>659</v>
      </c>
      <c r="G75" s="50">
        <f t="shared" si="29"/>
        <v>687</v>
      </c>
      <c r="H75" s="50">
        <f t="shared" si="29"/>
        <v>631</v>
      </c>
      <c r="I75" s="50">
        <f t="shared" si="29"/>
        <v>647</v>
      </c>
      <c r="J75" s="50">
        <f t="shared" si="29"/>
        <v>690</v>
      </c>
      <c r="K75" s="50">
        <f t="shared" si="29"/>
        <v>696</v>
      </c>
      <c r="L75" s="50">
        <f t="shared" si="29"/>
        <v>0</v>
      </c>
      <c r="M75" s="50">
        <f t="shared" si="29"/>
        <v>0</v>
      </c>
      <c r="N75" s="50">
        <f t="shared" si="29"/>
        <v>0</v>
      </c>
      <c r="O75" s="50">
        <f t="shared" si="29"/>
        <v>0</v>
      </c>
      <c r="P75" s="50">
        <f t="shared" si="29"/>
        <v>0</v>
      </c>
      <c r="Q75" s="52">
        <f t="shared" si="6"/>
        <v>46204</v>
      </c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48" t="str">
        <f t="shared" si="2"/>
        <v>E_F1</v>
      </c>
      <c r="B76" s="48" t="str">
        <f t="shared" si="3"/>
        <v>PELUS automation machines s.r.o.</v>
      </c>
      <c r="C76" s="49"/>
      <c r="D76" s="50">
        <v>1.0</v>
      </c>
      <c r="E76" s="50">
        <f t="shared" ref="E76:P76" si="30">$D76*IF(F27=0,0,(F27-E27))</f>
        <v>4</v>
      </c>
      <c r="F76" s="50">
        <f t="shared" si="30"/>
        <v>4</v>
      </c>
      <c r="G76" s="50">
        <f t="shared" si="30"/>
        <v>4</v>
      </c>
      <c r="H76" s="50">
        <f t="shared" si="30"/>
        <v>4</v>
      </c>
      <c r="I76" s="50">
        <f t="shared" si="30"/>
        <v>6</v>
      </c>
      <c r="J76" s="50">
        <f t="shared" si="30"/>
        <v>5</v>
      </c>
      <c r="K76" s="50">
        <f t="shared" si="30"/>
        <v>4</v>
      </c>
      <c r="L76" s="50">
        <f t="shared" si="30"/>
        <v>0</v>
      </c>
      <c r="M76" s="50">
        <f t="shared" si="30"/>
        <v>0</v>
      </c>
      <c r="N76" s="50">
        <f t="shared" si="30"/>
        <v>0</v>
      </c>
      <c r="O76" s="50">
        <f t="shared" si="30"/>
        <v>0</v>
      </c>
      <c r="P76" s="50">
        <f t="shared" si="30"/>
        <v>0</v>
      </c>
      <c r="Q76" s="52">
        <f t="shared" si="6"/>
        <v>46204</v>
      </c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48" t="str">
        <f t="shared" si="2"/>
        <v>E_F2</v>
      </c>
      <c r="B77" s="48" t="str">
        <f t="shared" si="3"/>
        <v>PELUS automation machines s.r.o.</v>
      </c>
      <c r="C77" s="49"/>
      <c r="D77" s="50">
        <v>1.0</v>
      </c>
      <c r="E77" s="50">
        <f t="shared" ref="E77:P77" si="31">$D77*IF(F28=0,0,(F28-E28))</f>
        <v>393</v>
      </c>
      <c r="F77" s="50">
        <f t="shared" si="31"/>
        <v>372</v>
      </c>
      <c r="G77" s="50">
        <f t="shared" si="31"/>
        <v>710</v>
      </c>
      <c r="H77" s="50">
        <f t="shared" si="31"/>
        <v>297</v>
      </c>
      <c r="I77" s="50">
        <f t="shared" si="31"/>
        <v>709</v>
      </c>
      <c r="J77" s="50">
        <f t="shared" si="31"/>
        <v>616</v>
      </c>
      <c r="K77" s="50">
        <f t="shared" si="31"/>
        <v>433</v>
      </c>
      <c r="L77" s="50">
        <f t="shared" si="31"/>
        <v>0</v>
      </c>
      <c r="M77" s="50">
        <f t="shared" si="31"/>
        <v>0</v>
      </c>
      <c r="N77" s="50">
        <f t="shared" si="31"/>
        <v>0</v>
      </c>
      <c r="O77" s="50">
        <f t="shared" si="31"/>
        <v>0</v>
      </c>
      <c r="P77" s="50">
        <f t="shared" si="31"/>
        <v>0</v>
      </c>
      <c r="Q77" s="52">
        <f t="shared" si="6"/>
        <v>46204</v>
      </c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48" t="str">
        <f t="shared" si="2"/>
        <v>E_F3</v>
      </c>
      <c r="B78" s="48" t="str">
        <f t="shared" si="3"/>
        <v>LogicVision s. r. o.</v>
      </c>
      <c r="C78" s="49"/>
      <c r="D78" s="50">
        <v>1.0</v>
      </c>
      <c r="E78" s="50">
        <f t="shared" ref="E78:P78" si="32">$D78*IF(F29=0,0,(F29-E29))</f>
        <v>22</v>
      </c>
      <c r="F78" s="50">
        <f t="shared" si="32"/>
        <v>6</v>
      </c>
      <c r="G78" s="50">
        <f t="shared" si="32"/>
        <v>8</v>
      </c>
      <c r="H78" s="50">
        <f t="shared" si="32"/>
        <v>4</v>
      </c>
      <c r="I78" s="50">
        <f t="shared" si="32"/>
        <v>6</v>
      </c>
      <c r="J78" s="50">
        <f t="shared" si="32"/>
        <v>8</v>
      </c>
      <c r="K78" s="50">
        <f t="shared" si="32"/>
        <v>3</v>
      </c>
      <c r="L78" s="50">
        <f t="shared" si="32"/>
        <v>0</v>
      </c>
      <c r="M78" s="50">
        <f t="shared" si="32"/>
        <v>0</v>
      </c>
      <c r="N78" s="50">
        <f t="shared" si="32"/>
        <v>0</v>
      </c>
      <c r="O78" s="50">
        <f t="shared" si="32"/>
        <v>0</v>
      </c>
      <c r="P78" s="50">
        <f t="shared" si="32"/>
        <v>0</v>
      </c>
      <c r="Q78" s="52">
        <f t="shared" si="6"/>
        <v>46204</v>
      </c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48" t="str">
        <f t="shared" si="2"/>
        <v>E_F4</v>
      </c>
      <c r="B79" s="48" t="str">
        <f t="shared" si="3"/>
        <v>CSE</v>
      </c>
      <c r="C79" s="49"/>
      <c r="D79" s="50">
        <v>1.0</v>
      </c>
      <c r="E79" s="50">
        <f t="shared" ref="E79:P79" si="33">$D79*IF(F30=0,0,(F30-E30))</f>
        <v>0</v>
      </c>
      <c r="F79" s="50">
        <f t="shared" si="33"/>
        <v>0</v>
      </c>
      <c r="G79" s="50">
        <f t="shared" si="33"/>
        <v>0</v>
      </c>
      <c r="H79" s="50">
        <f t="shared" si="33"/>
        <v>0</v>
      </c>
      <c r="I79" s="50">
        <f t="shared" si="33"/>
        <v>0</v>
      </c>
      <c r="J79" s="50">
        <f t="shared" si="33"/>
        <v>0</v>
      </c>
      <c r="K79" s="50">
        <f t="shared" si="33"/>
        <v>0</v>
      </c>
      <c r="L79" s="50">
        <f t="shared" si="33"/>
        <v>0</v>
      </c>
      <c r="M79" s="50">
        <f t="shared" si="33"/>
        <v>0</v>
      </c>
      <c r="N79" s="50">
        <f t="shared" si="33"/>
        <v>0</v>
      </c>
      <c r="O79" s="50">
        <f t="shared" si="33"/>
        <v>0</v>
      </c>
      <c r="P79" s="50">
        <f t="shared" si="33"/>
        <v>0</v>
      </c>
      <c r="Q79" s="52">
        <f t="shared" si="6"/>
        <v>46204</v>
      </c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48" t="str">
        <f t="shared" si="2"/>
        <v>E_M1</v>
      </c>
      <c r="B80" s="48" t="str">
        <f t="shared" si="3"/>
        <v>TENAUR, s. r. o.</v>
      </c>
      <c r="C80" s="49"/>
      <c r="D80" s="50">
        <v>1.0</v>
      </c>
      <c r="E80" s="50">
        <f t="shared" ref="E80:P80" si="34">$D80*IF(F31=0,0,(F31-E31))</f>
        <v>90</v>
      </c>
      <c r="F80" s="50">
        <f t="shared" si="34"/>
        <v>81</v>
      </c>
      <c r="G80" s="50">
        <f t="shared" si="34"/>
        <v>84</v>
      </c>
      <c r="H80" s="50">
        <f t="shared" si="34"/>
        <v>97</v>
      </c>
      <c r="I80" s="50">
        <f t="shared" si="34"/>
        <v>88</v>
      </c>
      <c r="J80" s="50">
        <f t="shared" si="34"/>
        <v>101</v>
      </c>
      <c r="K80" s="50">
        <f t="shared" si="34"/>
        <v>136</v>
      </c>
      <c r="L80" s="50">
        <f t="shared" si="34"/>
        <v>0</v>
      </c>
      <c r="M80" s="50">
        <f t="shared" si="34"/>
        <v>0</v>
      </c>
      <c r="N80" s="50">
        <f t="shared" si="34"/>
        <v>0</v>
      </c>
      <c r="O80" s="50">
        <f t="shared" si="34"/>
        <v>0</v>
      </c>
      <c r="P80" s="50">
        <f t="shared" si="34"/>
        <v>0</v>
      </c>
      <c r="Q80" s="52">
        <f t="shared" si="6"/>
        <v>46204</v>
      </c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48" t="str">
        <f t="shared" si="2"/>
        <v>E_N1</v>
      </c>
      <c r="B81" s="48" t="str">
        <f t="shared" si="3"/>
        <v>Milan ŠPRC</v>
      </c>
      <c r="C81" s="49"/>
      <c r="D81" s="50">
        <v>1.0</v>
      </c>
      <c r="E81" s="50">
        <f t="shared" ref="E81:P81" si="35">$D81*IF(F32=0,0,(F32-E32))</f>
        <v>13</v>
      </c>
      <c r="F81" s="50">
        <f t="shared" si="35"/>
        <v>16</v>
      </c>
      <c r="G81" s="50">
        <f t="shared" si="35"/>
        <v>10</v>
      </c>
      <c r="H81" s="50">
        <f t="shared" si="35"/>
        <v>11</v>
      </c>
      <c r="I81" s="50">
        <f t="shared" si="35"/>
        <v>8</v>
      </c>
      <c r="J81" s="50">
        <f t="shared" si="35"/>
        <v>10</v>
      </c>
      <c r="K81" s="50">
        <f t="shared" si="35"/>
        <v>8</v>
      </c>
      <c r="L81" s="50">
        <f t="shared" si="35"/>
        <v>0</v>
      </c>
      <c r="M81" s="50">
        <f t="shared" si="35"/>
        <v>0</v>
      </c>
      <c r="N81" s="50">
        <f t="shared" si="35"/>
        <v>0</v>
      </c>
      <c r="O81" s="50">
        <f t="shared" si="35"/>
        <v>0</v>
      </c>
      <c r="P81" s="50">
        <f t="shared" si="35"/>
        <v>0</v>
      </c>
      <c r="Q81" s="52">
        <f t="shared" si="6"/>
        <v>46204</v>
      </c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48" t="str">
        <f t="shared" si="2"/>
        <v>E_N2</v>
      </c>
      <c r="B82" s="48" t="str">
        <f t="shared" si="3"/>
        <v>CSE</v>
      </c>
      <c r="C82" s="49"/>
      <c r="D82" s="50">
        <v>1.0</v>
      </c>
      <c r="E82" s="50">
        <f t="shared" ref="E82:P82" si="36">$D82*IF(F33=0,0,(F33-E33))</f>
        <v>91</v>
      </c>
      <c r="F82" s="50">
        <f t="shared" si="36"/>
        <v>86</v>
      </c>
      <c r="G82" s="50">
        <f t="shared" si="36"/>
        <v>85</v>
      </c>
      <c r="H82" s="50">
        <f t="shared" si="36"/>
        <v>85</v>
      </c>
      <c r="I82" s="50">
        <f t="shared" si="36"/>
        <v>78</v>
      </c>
      <c r="J82" s="50">
        <f t="shared" si="36"/>
        <v>57</v>
      </c>
      <c r="K82" s="50">
        <f t="shared" si="36"/>
        <v>45</v>
      </c>
      <c r="L82" s="50">
        <f t="shared" si="36"/>
        <v>0</v>
      </c>
      <c r="M82" s="50">
        <f t="shared" si="36"/>
        <v>0</v>
      </c>
      <c r="N82" s="50">
        <f t="shared" si="36"/>
        <v>0</v>
      </c>
      <c r="O82" s="50">
        <f t="shared" si="36"/>
        <v>0</v>
      </c>
      <c r="P82" s="50">
        <f t="shared" si="36"/>
        <v>0</v>
      </c>
      <c r="Q82" s="52">
        <f t="shared" si="6"/>
        <v>46204</v>
      </c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48" t="str">
        <f t="shared" si="2"/>
        <v>E_N3</v>
      </c>
      <c r="B83" s="48" t="str">
        <f t="shared" si="3"/>
        <v>CSE</v>
      </c>
      <c r="C83" s="53" t="s">
        <v>29</v>
      </c>
      <c r="D83" s="50">
        <v>1.0</v>
      </c>
      <c r="E83" s="50">
        <f t="shared" ref="E83:P83" si="37">$D83*IF(F34=0,0,(F34-E34))-E82</f>
        <v>313</v>
      </c>
      <c r="F83" s="50">
        <f t="shared" si="37"/>
        <v>265</v>
      </c>
      <c r="G83" s="50">
        <f t="shared" si="37"/>
        <v>208</v>
      </c>
      <c r="H83" s="50">
        <f t="shared" si="37"/>
        <v>96</v>
      </c>
      <c r="I83" s="50">
        <f t="shared" si="37"/>
        <v>98</v>
      </c>
      <c r="J83" s="50">
        <f t="shared" si="37"/>
        <v>130</v>
      </c>
      <c r="K83" s="50">
        <f t="shared" si="37"/>
        <v>105</v>
      </c>
      <c r="L83" s="50">
        <f t="shared" si="37"/>
        <v>0</v>
      </c>
      <c r="M83" s="50">
        <f t="shared" si="37"/>
        <v>0</v>
      </c>
      <c r="N83" s="50">
        <f t="shared" si="37"/>
        <v>0</v>
      </c>
      <c r="O83" s="50">
        <f t="shared" si="37"/>
        <v>0</v>
      </c>
      <c r="P83" s="50">
        <f t="shared" si="37"/>
        <v>0</v>
      </c>
      <c r="Q83" s="52">
        <f t="shared" si="6"/>
        <v>46204</v>
      </c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48" t="str">
        <f t="shared" si="2"/>
        <v>E_N4</v>
      </c>
      <c r="B84" s="48" t="str">
        <f t="shared" si="3"/>
        <v>TENAUR, s. r. o.</v>
      </c>
      <c r="C84" s="49"/>
      <c r="D84" s="50">
        <v>1.0</v>
      </c>
      <c r="E84" s="50">
        <f t="shared" ref="E84:P84" si="38">$D84*IF(F35=0,0,(F35-E35))</f>
        <v>96</v>
      </c>
      <c r="F84" s="50">
        <f t="shared" si="38"/>
        <v>59</v>
      </c>
      <c r="G84" s="50">
        <f t="shared" si="38"/>
        <v>65</v>
      </c>
      <c r="H84" s="50">
        <f t="shared" si="38"/>
        <v>55</v>
      </c>
      <c r="I84" s="50">
        <f t="shared" si="38"/>
        <v>51</v>
      </c>
      <c r="J84" s="50">
        <f t="shared" si="38"/>
        <v>53</v>
      </c>
      <c r="K84" s="50">
        <f t="shared" si="38"/>
        <v>46</v>
      </c>
      <c r="L84" s="50">
        <f t="shared" si="38"/>
        <v>0</v>
      </c>
      <c r="M84" s="50">
        <f t="shared" si="38"/>
        <v>0</v>
      </c>
      <c r="N84" s="50">
        <f t="shared" si="38"/>
        <v>0</v>
      </c>
      <c r="O84" s="50">
        <f t="shared" si="38"/>
        <v>0</v>
      </c>
      <c r="P84" s="50">
        <f t="shared" si="38"/>
        <v>0</v>
      </c>
      <c r="Q84" s="52">
        <f t="shared" si="6"/>
        <v>46204</v>
      </c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48" t="str">
        <f t="shared" si="2"/>
        <v>E_O1</v>
      </c>
      <c r="B85" s="48" t="str">
        <f t="shared" si="3"/>
        <v>PTÁČEK-velkoobchod, a.s</v>
      </c>
      <c r="C85" s="49"/>
      <c r="D85" s="50">
        <v>1.0</v>
      </c>
      <c r="E85" s="50">
        <f t="shared" ref="E85:P85" si="39">$D85*IF(F36=0,0,(F36-E36))</f>
        <v>1156</v>
      </c>
      <c r="F85" s="50">
        <f t="shared" si="39"/>
        <v>1126</v>
      </c>
      <c r="G85" s="50">
        <f t="shared" si="39"/>
        <v>1061</v>
      </c>
      <c r="H85" s="50">
        <f t="shared" si="39"/>
        <v>900</v>
      </c>
      <c r="I85" s="50">
        <f t="shared" si="39"/>
        <v>845</v>
      </c>
      <c r="J85" s="50">
        <f t="shared" si="39"/>
        <v>819</v>
      </c>
      <c r="K85" s="50">
        <f t="shared" si="39"/>
        <v>838</v>
      </c>
      <c r="L85" s="50">
        <f t="shared" si="39"/>
        <v>0</v>
      </c>
      <c r="M85" s="50">
        <f t="shared" si="39"/>
        <v>0</v>
      </c>
      <c r="N85" s="50">
        <f t="shared" si="39"/>
        <v>0</v>
      </c>
      <c r="O85" s="50">
        <f t="shared" si="39"/>
        <v>0</v>
      </c>
      <c r="P85" s="50">
        <f t="shared" si="39"/>
        <v>0</v>
      </c>
      <c r="Q85" s="52">
        <f t="shared" si="6"/>
        <v>46204</v>
      </c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48" t="str">
        <f t="shared" si="2"/>
        <v>E_O2</v>
      </c>
      <c r="B86" s="48" t="str">
        <f t="shared" si="3"/>
        <v>Studio Proměna</v>
      </c>
      <c r="C86" s="49"/>
      <c r="D86" s="50">
        <v>1.0</v>
      </c>
      <c r="E86" s="50">
        <f t="shared" ref="E86:P86" si="40">$D86*IF(F37=0,0,(F37-E37))</f>
        <v>120</v>
      </c>
      <c r="F86" s="50">
        <f t="shared" si="40"/>
        <v>91</v>
      </c>
      <c r="G86" s="50">
        <f t="shared" si="40"/>
        <v>70</v>
      </c>
      <c r="H86" s="50">
        <f t="shared" si="40"/>
        <v>67</v>
      </c>
      <c r="I86" s="50">
        <f t="shared" si="40"/>
        <v>20</v>
      </c>
      <c r="J86" s="50">
        <f t="shared" si="40"/>
        <v>4</v>
      </c>
      <c r="K86" s="50">
        <f t="shared" si="40"/>
        <v>2</v>
      </c>
      <c r="L86" s="50">
        <f t="shared" si="40"/>
        <v>0</v>
      </c>
      <c r="M86" s="50">
        <f t="shared" si="40"/>
        <v>0</v>
      </c>
      <c r="N86" s="50">
        <f t="shared" si="40"/>
        <v>0</v>
      </c>
      <c r="O86" s="50">
        <f t="shared" si="40"/>
        <v>0</v>
      </c>
      <c r="P86" s="50">
        <f t="shared" si="40"/>
        <v>0</v>
      </c>
      <c r="Q86" s="52">
        <f t="shared" si="6"/>
        <v>46204</v>
      </c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48" t="str">
        <f t="shared" si="2"/>
        <v>E_O3</v>
      </c>
      <c r="B87" s="48" t="str">
        <f t="shared" si="3"/>
        <v>CSE</v>
      </c>
      <c r="C87" s="53" t="s">
        <v>217</v>
      </c>
      <c r="D87" s="50">
        <v>1.0</v>
      </c>
      <c r="E87" s="50">
        <f t="shared" ref="E87:P87" si="41">$D87*IF(F38=0,0,(F38-E38))</f>
        <v>178</v>
      </c>
      <c r="F87" s="50">
        <f t="shared" si="41"/>
        <v>165</v>
      </c>
      <c r="G87" s="50">
        <f t="shared" si="41"/>
        <v>190</v>
      </c>
      <c r="H87" s="50">
        <f t="shared" si="41"/>
        <v>145</v>
      </c>
      <c r="I87" s="50">
        <f t="shared" si="41"/>
        <v>124</v>
      </c>
      <c r="J87" s="50">
        <f t="shared" si="41"/>
        <v>74</v>
      </c>
      <c r="K87" s="50">
        <f t="shared" si="41"/>
        <v>90</v>
      </c>
      <c r="L87" s="50">
        <f t="shared" si="41"/>
        <v>0</v>
      </c>
      <c r="M87" s="50">
        <f t="shared" si="41"/>
        <v>0</v>
      </c>
      <c r="N87" s="50">
        <f t="shared" si="41"/>
        <v>0</v>
      </c>
      <c r="O87" s="50">
        <f t="shared" si="41"/>
        <v>0</v>
      </c>
      <c r="P87" s="50">
        <f t="shared" si="41"/>
        <v>0</v>
      </c>
      <c r="Q87" s="52">
        <f t="shared" si="6"/>
        <v>46204</v>
      </c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48" t="str">
        <f t="shared" si="2"/>
        <v>E_O4</v>
      </c>
      <c r="B88" s="48" t="str">
        <f t="shared" si="3"/>
        <v>Ing. Roman CHAMRAD - SHIVA SHOP</v>
      </c>
      <c r="C88" s="49"/>
      <c r="D88" s="50">
        <v>1.0</v>
      </c>
      <c r="E88" s="50">
        <f t="shared" ref="E88:P88" si="42">$D88*IF(F39=0,0,(F39-E39))</f>
        <v>225</v>
      </c>
      <c r="F88" s="50">
        <f t="shared" si="42"/>
        <v>200</v>
      </c>
      <c r="G88" s="50">
        <f t="shared" si="42"/>
        <v>206</v>
      </c>
      <c r="H88" s="50">
        <f t="shared" si="42"/>
        <v>191</v>
      </c>
      <c r="I88" s="50">
        <f t="shared" si="42"/>
        <v>213</v>
      </c>
      <c r="J88" s="50">
        <f t="shared" si="42"/>
        <v>223</v>
      </c>
      <c r="K88" s="50">
        <f t="shared" si="42"/>
        <v>242</v>
      </c>
      <c r="L88" s="50">
        <f t="shared" si="42"/>
        <v>0</v>
      </c>
      <c r="M88" s="50">
        <f t="shared" si="42"/>
        <v>0</v>
      </c>
      <c r="N88" s="50">
        <f t="shared" si="42"/>
        <v>0</v>
      </c>
      <c r="O88" s="50">
        <f t="shared" si="42"/>
        <v>0</v>
      </c>
      <c r="P88" s="50">
        <f t="shared" si="42"/>
        <v>0</v>
      </c>
      <c r="Q88" s="52">
        <f t="shared" si="6"/>
        <v>46204</v>
      </c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48" t="str">
        <f t="shared" si="2"/>
        <v>E_O5</v>
      </c>
      <c r="B89" s="48" t="str">
        <f t="shared" si="3"/>
        <v>Outdoor Colours, s. r. o.</v>
      </c>
      <c r="C89" s="49"/>
      <c r="D89" s="50">
        <v>1.0</v>
      </c>
      <c r="E89" s="50">
        <f t="shared" ref="E89:P89" si="43">$D89*IF(F40=0,0,(F40-E40))</f>
        <v>131</v>
      </c>
      <c r="F89" s="50">
        <f t="shared" si="43"/>
        <v>35</v>
      </c>
      <c r="G89" s="50">
        <f t="shared" si="43"/>
        <v>64</v>
      </c>
      <c r="H89" s="50">
        <f t="shared" si="43"/>
        <v>3</v>
      </c>
      <c r="I89" s="50">
        <f t="shared" si="43"/>
        <v>24</v>
      </c>
      <c r="J89" s="50">
        <f t="shared" si="43"/>
        <v>47</v>
      </c>
      <c r="K89" s="50">
        <f t="shared" si="43"/>
        <v>17</v>
      </c>
      <c r="L89" s="50">
        <f t="shared" si="43"/>
        <v>0</v>
      </c>
      <c r="M89" s="50">
        <f t="shared" si="43"/>
        <v>0</v>
      </c>
      <c r="N89" s="50">
        <f t="shared" si="43"/>
        <v>0</v>
      </c>
      <c r="O89" s="50">
        <f t="shared" si="43"/>
        <v>0</v>
      </c>
      <c r="P89" s="50">
        <f t="shared" si="43"/>
        <v>0</v>
      </c>
      <c r="Q89" s="52">
        <f t="shared" si="6"/>
        <v>46204</v>
      </c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48" t="str">
        <f t="shared" si="2"/>
        <v>E_O6</v>
      </c>
      <c r="B90" s="48" t="str">
        <f t="shared" si="3"/>
        <v>Studio Proměna</v>
      </c>
      <c r="C90" s="49"/>
      <c r="D90" s="50">
        <v>1.0</v>
      </c>
      <c r="E90" s="50">
        <f t="shared" ref="E90:P90" si="44">$D90*IF(F41=0,0,(F41-E41))</f>
        <v>66</v>
      </c>
      <c r="F90" s="50">
        <f t="shared" si="44"/>
        <v>9</v>
      </c>
      <c r="G90" s="50">
        <f t="shared" si="44"/>
        <v>6</v>
      </c>
      <c r="H90" s="50">
        <f t="shared" si="44"/>
        <v>3</v>
      </c>
      <c r="I90" s="50">
        <f t="shared" si="44"/>
        <v>1</v>
      </c>
      <c r="J90" s="50">
        <f t="shared" si="44"/>
        <v>1</v>
      </c>
      <c r="K90" s="50">
        <f t="shared" si="44"/>
        <v>2</v>
      </c>
      <c r="L90" s="50">
        <f t="shared" si="44"/>
        <v>0</v>
      </c>
      <c r="M90" s="50">
        <f t="shared" si="44"/>
        <v>0</v>
      </c>
      <c r="N90" s="50">
        <f t="shared" si="44"/>
        <v>0</v>
      </c>
      <c r="O90" s="50">
        <f t="shared" si="44"/>
        <v>0</v>
      </c>
      <c r="P90" s="50">
        <f t="shared" si="44"/>
        <v>0</v>
      </c>
      <c r="Q90" s="52">
        <f t="shared" si="6"/>
        <v>46204</v>
      </c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48" t="str">
        <f t="shared" si="2"/>
        <v>E_O7</v>
      </c>
      <c r="B91" s="48" t="str">
        <f t="shared" si="3"/>
        <v>VLAMON s. r. o.</v>
      </c>
      <c r="C91" s="49"/>
      <c r="D91" s="50">
        <v>1.0</v>
      </c>
      <c r="E91" s="50">
        <f t="shared" ref="E91:P91" si="45">$D91*IF(F42=0,0,(F42-E42))</f>
        <v>16</v>
      </c>
      <c r="F91" s="50">
        <f t="shared" si="45"/>
        <v>0</v>
      </c>
      <c r="G91" s="50">
        <f t="shared" si="45"/>
        <v>1</v>
      </c>
      <c r="H91" s="50">
        <f t="shared" si="45"/>
        <v>0</v>
      </c>
      <c r="I91" s="50">
        <f t="shared" si="45"/>
        <v>0</v>
      </c>
      <c r="J91" s="50">
        <f t="shared" si="45"/>
        <v>0</v>
      </c>
      <c r="K91" s="50">
        <f t="shared" si="45"/>
        <v>0</v>
      </c>
      <c r="L91" s="50">
        <f t="shared" si="45"/>
        <v>0</v>
      </c>
      <c r="M91" s="50">
        <f t="shared" si="45"/>
        <v>0</v>
      </c>
      <c r="N91" s="50">
        <f t="shared" si="45"/>
        <v>0</v>
      </c>
      <c r="O91" s="50">
        <f t="shared" si="45"/>
        <v>0</v>
      </c>
      <c r="P91" s="50">
        <f t="shared" si="45"/>
        <v>0</v>
      </c>
      <c r="Q91" s="52">
        <f t="shared" si="6"/>
        <v>46204</v>
      </c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48" t="str">
        <f t="shared" si="2"/>
        <v>E_S1</v>
      </c>
      <c r="B92" s="48" t="str">
        <f t="shared" si="3"/>
        <v>PTÁČEK-velkoobchod, a.s</v>
      </c>
      <c r="C92" s="49"/>
      <c r="D92" s="50">
        <v>1.0</v>
      </c>
      <c r="E92" s="50">
        <f t="shared" ref="E92:P92" si="46">$D92*IF(F43=0,0,(F43-E43))</f>
        <v>1507</v>
      </c>
      <c r="F92" s="50">
        <f t="shared" si="46"/>
        <v>1572</v>
      </c>
      <c r="G92" s="50">
        <f t="shared" si="46"/>
        <v>1496</v>
      </c>
      <c r="H92" s="50">
        <f t="shared" si="46"/>
        <v>1539</v>
      </c>
      <c r="I92" s="50">
        <f t="shared" si="46"/>
        <v>1673</v>
      </c>
      <c r="J92" s="50">
        <f t="shared" si="46"/>
        <v>1649</v>
      </c>
      <c r="K92" s="50">
        <f t="shared" si="46"/>
        <v>1523</v>
      </c>
      <c r="L92" s="50">
        <f t="shared" si="46"/>
        <v>0</v>
      </c>
      <c r="M92" s="50">
        <f t="shared" si="46"/>
        <v>0</v>
      </c>
      <c r="N92" s="50">
        <f t="shared" si="46"/>
        <v>0</v>
      </c>
      <c r="O92" s="50">
        <f t="shared" si="46"/>
        <v>0</v>
      </c>
      <c r="P92" s="50">
        <f t="shared" si="46"/>
        <v>0</v>
      </c>
      <c r="Q92" s="52">
        <f t="shared" si="6"/>
        <v>46204</v>
      </c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48" t="str">
        <f t="shared" si="2"/>
        <v>E_T1</v>
      </c>
      <c r="B93" s="48" t="str">
        <f t="shared" si="3"/>
        <v>TENAUR, s. r. o.</v>
      </c>
      <c r="C93" s="49"/>
      <c r="D93" s="50">
        <v>1.0</v>
      </c>
      <c r="E93" s="50">
        <f t="shared" ref="E93:P93" si="47">$D93*IF(F44=0,0,(F44-E44))</f>
        <v>42</v>
      </c>
      <c r="F93" s="50">
        <f t="shared" si="47"/>
        <v>66</v>
      </c>
      <c r="G93" s="50">
        <f t="shared" si="47"/>
        <v>42</v>
      </c>
      <c r="H93" s="50">
        <f t="shared" si="47"/>
        <v>38</v>
      </c>
      <c r="I93" s="50">
        <f t="shared" si="47"/>
        <v>73</v>
      </c>
      <c r="J93" s="50">
        <f t="shared" si="47"/>
        <v>41</v>
      </c>
      <c r="K93" s="50">
        <f t="shared" si="47"/>
        <v>43</v>
      </c>
      <c r="L93" s="50">
        <f t="shared" si="47"/>
        <v>0</v>
      </c>
      <c r="M93" s="50">
        <f t="shared" si="47"/>
        <v>0</v>
      </c>
      <c r="N93" s="50">
        <f t="shared" si="47"/>
        <v>0</v>
      </c>
      <c r="O93" s="50">
        <f t="shared" si="47"/>
        <v>0</v>
      </c>
      <c r="P93" s="50">
        <f t="shared" si="47"/>
        <v>0</v>
      </c>
      <c r="Q93" s="52">
        <f t="shared" si="6"/>
        <v>46204</v>
      </c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48" t="str">
        <f t="shared" si="2"/>
        <v>668VT</v>
      </c>
      <c r="B94" s="48" t="str">
        <f t="shared" ref="B94:B96" si="49">$B45</f>
        <v>LogicVision s. r. o.</v>
      </c>
      <c r="C94" s="49"/>
      <c r="D94" s="50">
        <v>1.0</v>
      </c>
      <c r="E94" s="50">
        <f t="shared" ref="E94:P94" si="48">$D94*IF(F45=0,0,(F45-E45))</f>
        <v>4300</v>
      </c>
      <c r="F94" s="50">
        <f t="shared" si="48"/>
        <v>3564</v>
      </c>
      <c r="G94" s="50">
        <f t="shared" si="48"/>
        <v>2574</v>
      </c>
      <c r="H94" s="50">
        <f t="shared" si="48"/>
        <v>2159</v>
      </c>
      <c r="I94" s="50">
        <f t="shared" si="48"/>
        <v>1985</v>
      </c>
      <c r="J94" s="50">
        <f t="shared" si="48"/>
        <v>2088</v>
      </c>
      <c r="K94" s="50">
        <f t="shared" si="48"/>
        <v>2116</v>
      </c>
      <c r="L94" s="50">
        <f t="shared" si="48"/>
        <v>0</v>
      </c>
      <c r="M94" s="50">
        <f t="shared" si="48"/>
        <v>0</v>
      </c>
      <c r="N94" s="50">
        <f t="shared" si="48"/>
        <v>0</v>
      </c>
      <c r="O94" s="50">
        <f t="shared" si="48"/>
        <v>0</v>
      </c>
      <c r="P94" s="50">
        <f t="shared" si="48"/>
        <v>0</v>
      </c>
      <c r="Q94" s="52">
        <f t="shared" si="6"/>
        <v>46204</v>
      </c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48" t="str">
        <f t="shared" si="2"/>
        <v>668NT</v>
      </c>
      <c r="B95" s="48" t="str">
        <f t="shared" si="49"/>
        <v>LogicVision s. r. o.</v>
      </c>
      <c r="C95" s="49"/>
      <c r="D95" s="50">
        <v>1.0</v>
      </c>
      <c r="E95" s="50">
        <f t="shared" ref="E95:P95" si="50">$D95*IF(F46=0,0,(F46-E46))</f>
        <v>10850</v>
      </c>
      <c r="F95" s="50">
        <f t="shared" si="50"/>
        <v>9497</v>
      </c>
      <c r="G95" s="50">
        <f t="shared" si="50"/>
        <v>8568</v>
      </c>
      <c r="H95" s="50">
        <f t="shared" si="50"/>
        <v>6604</v>
      </c>
      <c r="I95" s="50">
        <f t="shared" si="50"/>
        <v>4728</v>
      </c>
      <c r="J95" s="50">
        <f t="shared" si="50"/>
        <v>5018</v>
      </c>
      <c r="K95" s="50">
        <f t="shared" si="50"/>
        <v>5259</v>
      </c>
      <c r="L95" s="50">
        <f t="shared" si="50"/>
        <v>0</v>
      </c>
      <c r="M95" s="50">
        <f t="shared" si="50"/>
        <v>0</v>
      </c>
      <c r="N95" s="50">
        <f t="shared" si="50"/>
        <v>0</v>
      </c>
      <c r="O95" s="50">
        <f t="shared" si="50"/>
        <v>0</v>
      </c>
      <c r="P95" s="50">
        <f t="shared" si="50"/>
        <v>0</v>
      </c>
      <c r="Q95" s="52">
        <f t="shared" si="6"/>
        <v>46204</v>
      </c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48" t="s">
        <v>210</v>
      </c>
      <c r="B96" s="48" t="str">
        <f t="shared" si="49"/>
        <v>společná spotřeba</v>
      </c>
      <c r="C96" s="49"/>
      <c r="D96" s="50">
        <v>1.0</v>
      </c>
      <c r="E96" s="50">
        <f t="shared" ref="E96:P96" si="51">E58+E59+E60+E72</f>
        <v>4106</v>
      </c>
      <c r="F96" s="50">
        <f t="shared" si="51"/>
        <v>3366</v>
      </c>
      <c r="G96" s="50">
        <f t="shared" si="51"/>
        <v>2473</v>
      </c>
      <c r="H96" s="50">
        <f t="shared" si="51"/>
        <v>2213</v>
      </c>
      <c r="I96" s="50">
        <f t="shared" si="51"/>
        <v>1144</v>
      </c>
      <c r="J96" s="50">
        <f t="shared" si="51"/>
        <v>801</v>
      </c>
      <c r="K96" s="50">
        <f t="shared" si="51"/>
        <v>839</v>
      </c>
      <c r="L96" s="50">
        <f t="shared" si="51"/>
        <v>0</v>
      </c>
      <c r="M96" s="50">
        <f t="shared" si="51"/>
        <v>0</v>
      </c>
      <c r="N96" s="50">
        <f t="shared" si="51"/>
        <v>0</v>
      </c>
      <c r="O96" s="50">
        <f t="shared" si="51"/>
        <v>0</v>
      </c>
      <c r="P96" s="50">
        <f t="shared" si="51"/>
        <v>0</v>
      </c>
      <c r="Q96" s="52">
        <f t="shared" si="6"/>
        <v>46204</v>
      </c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48" t="str">
        <f>$A48</f>
        <v>E_CELKEM</v>
      </c>
      <c r="B97" s="48"/>
      <c r="C97" s="49"/>
      <c r="D97" s="50">
        <v>1.0</v>
      </c>
      <c r="E97" s="50">
        <f>$D97*IF(F48=0,0,(F48-E48))</f>
        <v>0</v>
      </c>
      <c r="F97" s="50">
        <f t="shared" ref="F97:P97" si="52">F102</f>
        <v>11101</v>
      </c>
      <c r="G97" s="50">
        <f t="shared" si="52"/>
        <v>10599</v>
      </c>
      <c r="H97" s="50">
        <f t="shared" si="52"/>
        <v>9330</v>
      </c>
      <c r="I97" s="50">
        <f t="shared" si="52"/>
        <v>7950</v>
      </c>
      <c r="J97" s="50">
        <f t="shared" si="52"/>
        <v>7851</v>
      </c>
      <c r="K97" s="50">
        <f t="shared" si="52"/>
        <v>7436</v>
      </c>
      <c r="L97" s="50">
        <f t="shared" si="52"/>
        <v>0</v>
      </c>
      <c r="M97" s="50">
        <f t="shared" si="52"/>
        <v>0</v>
      </c>
      <c r="N97" s="50">
        <f t="shared" si="52"/>
        <v>0</v>
      </c>
      <c r="O97" s="50">
        <f t="shared" si="52"/>
        <v>0</v>
      </c>
      <c r="P97" s="50">
        <f t="shared" si="52"/>
        <v>0</v>
      </c>
      <c r="Q97" s="52">
        <f t="shared" si="6"/>
        <v>46204</v>
      </c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66"/>
      <c r="B98" s="36"/>
      <c r="C98" s="67"/>
      <c r="D98" s="67"/>
      <c r="E98" s="68"/>
      <c r="F98" s="69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70" t="s">
        <v>185</v>
      </c>
      <c r="B99" s="36"/>
      <c r="C99" s="67"/>
      <c r="D99" s="67"/>
      <c r="E99" s="68">
        <f t="shared" ref="E99:P99" si="53">SUM(E51:E93)-E80-E84</f>
        <v>11997</v>
      </c>
      <c r="F99" s="68">
        <f t="shared" si="53"/>
        <v>10521</v>
      </c>
      <c r="G99" s="68">
        <f t="shared" si="53"/>
        <v>9861</v>
      </c>
      <c r="H99" s="68">
        <f t="shared" si="53"/>
        <v>8459</v>
      </c>
      <c r="I99" s="68">
        <f t="shared" si="53"/>
        <v>7899</v>
      </c>
      <c r="J99" s="68">
        <f t="shared" si="53"/>
        <v>7501</v>
      </c>
      <c r="K99" s="68">
        <f t="shared" si="53"/>
        <v>7275</v>
      </c>
      <c r="L99" s="68">
        <f t="shared" si="53"/>
        <v>0</v>
      </c>
      <c r="M99" s="68">
        <f t="shared" si="53"/>
        <v>0</v>
      </c>
      <c r="N99" s="68">
        <f t="shared" si="53"/>
        <v>0</v>
      </c>
      <c r="O99" s="68">
        <f t="shared" si="53"/>
        <v>0</v>
      </c>
      <c r="P99" s="68">
        <f t="shared" si="53"/>
        <v>0</v>
      </c>
      <c r="Q99" s="68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66"/>
      <c r="B100" s="36"/>
      <c r="C100" s="67"/>
      <c r="D100" s="67"/>
      <c r="E100" s="68"/>
      <c r="F100" s="69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70" t="s">
        <v>218</v>
      </c>
      <c r="B101" s="36"/>
      <c r="C101" s="67"/>
      <c r="D101" s="67"/>
      <c r="E101" s="68">
        <f t="shared" ref="E101:P101" si="54">E99</f>
        <v>11997</v>
      </c>
      <c r="F101" s="68">
        <f t="shared" si="54"/>
        <v>10521</v>
      </c>
      <c r="G101" s="68">
        <f t="shared" si="54"/>
        <v>9861</v>
      </c>
      <c r="H101" s="68">
        <f t="shared" si="54"/>
        <v>8459</v>
      </c>
      <c r="I101" s="68">
        <f t="shared" si="54"/>
        <v>7899</v>
      </c>
      <c r="J101" s="68">
        <f t="shared" si="54"/>
        <v>7501</v>
      </c>
      <c r="K101" s="68">
        <f t="shared" si="54"/>
        <v>7275</v>
      </c>
      <c r="L101" s="68">
        <f t="shared" si="54"/>
        <v>0</v>
      </c>
      <c r="M101" s="68">
        <f t="shared" si="54"/>
        <v>0</v>
      </c>
      <c r="N101" s="68">
        <f t="shared" si="54"/>
        <v>0</v>
      </c>
      <c r="O101" s="68">
        <f t="shared" si="54"/>
        <v>0</v>
      </c>
      <c r="P101" s="68">
        <f t="shared" si="54"/>
        <v>0</v>
      </c>
      <c r="Q101" s="68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71" t="s">
        <v>219</v>
      </c>
      <c r="B102" s="36"/>
      <c r="C102" s="67"/>
      <c r="D102" s="67"/>
      <c r="E102" s="72">
        <v>12480.0</v>
      </c>
      <c r="F102" s="72">
        <v>11101.0</v>
      </c>
      <c r="G102" s="72">
        <v>10599.0</v>
      </c>
      <c r="H102" s="72">
        <v>9330.0</v>
      </c>
      <c r="I102" s="72">
        <v>7950.0</v>
      </c>
      <c r="J102" s="72">
        <v>7851.0</v>
      </c>
      <c r="K102" s="72">
        <v>7436.0</v>
      </c>
      <c r="L102" s="73">
        <v>0.0</v>
      </c>
      <c r="M102" s="73">
        <v>0.0</v>
      </c>
      <c r="N102" s="73">
        <v>0.0</v>
      </c>
      <c r="O102" s="73">
        <v>0.0</v>
      </c>
      <c r="P102" s="73">
        <v>0.0</v>
      </c>
      <c r="Q102" s="68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71" t="s">
        <v>220</v>
      </c>
      <c r="B103" s="36"/>
      <c r="C103" s="67"/>
      <c r="D103" s="67"/>
      <c r="E103" s="72">
        <v>20.0</v>
      </c>
      <c r="F103" s="72">
        <v>54.0</v>
      </c>
      <c r="G103" s="72">
        <v>341.0</v>
      </c>
      <c r="H103" s="72">
        <v>688.0</v>
      </c>
      <c r="I103" s="72">
        <v>753.0</v>
      </c>
      <c r="J103" s="72">
        <v>822.0</v>
      </c>
      <c r="K103" s="73">
        <v>0.0</v>
      </c>
      <c r="L103" s="73">
        <v>0.0</v>
      </c>
      <c r="M103" s="73">
        <v>0.0</v>
      </c>
      <c r="N103" s="73">
        <v>0.0</v>
      </c>
      <c r="O103" s="73">
        <v>0.0</v>
      </c>
      <c r="P103" s="73">
        <v>0.0</v>
      </c>
      <c r="Q103" s="68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70" t="s">
        <v>221</v>
      </c>
      <c r="B104" s="36"/>
      <c r="C104" s="67"/>
      <c r="D104" s="67"/>
      <c r="E104" s="68">
        <f t="shared" ref="E104:G104" si="55">E102+E103</f>
        <v>12500</v>
      </c>
      <c r="F104" s="68">
        <f t="shared" si="55"/>
        <v>11155</v>
      </c>
      <c r="G104" s="68">
        <f t="shared" si="55"/>
        <v>10940</v>
      </c>
      <c r="H104" s="68">
        <f t="shared" ref="H104:P104" si="56">H102</f>
        <v>9330</v>
      </c>
      <c r="I104" s="68">
        <f t="shared" si="56"/>
        <v>7950</v>
      </c>
      <c r="J104" s="68">
        <f t="shared" si="56"/>
        <v>7851</v>
      </c>
      <c r="K104" s="68">
        <f t="shared" si="56"/>
        <v>7436</v>
      </c>
      <c r="L104" s="68">
        <f t="shared" si="56"/>
        <v>0</v>
      </c>
      <c r="M104" s="68">
        <f t="shared" si="56"/>
        <v>0</v>
      </c>
      <c r="N104" s="68">
        <f t="shared" si="56"/>
        <v>0</v>
      </c>
      <c r="O104" s="68">
        <f t="shared" si="56"/>
        <v>0</v>
      </c>
      <c r="P104" s="68">
        <f t="shared" si="56"/>
        <v>0</v>
      </c>
      <c r="Q104" s="68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71" t="s">
        <v>222</v>
      </c>
      <c r="B105" s="36"/>
      <c r="C105" s="67"/>
      <c r="D105" s="67"/>
      <c r="E105" s="68">
        <f t="shared" ref="E105:P105" si="57">E104/1.04</f>
        <v>12019.23077</v>
      </c>
      <c r="F105" s="68">
        <f t="shared" si="57"/>
        <v>10725.96154</v>
      </c>
      <c r="G105" s="68">
        <f t="shared" si="57"/>
        <v>10519.23077</v>
      </c>
      <c r="H105" s="68">
        <f t="shared" si="57"/>
        <v>8971.153846</v>
      </c>
      <c r="I105" s="68">
        <f t="shared" si="57"/>
        <v>7644.230769</v>
      </c>
      <c r="J105" s="68">
        <f t="shared" si="57"/>
        <v>7549.038462</v>
      </c>
      <c r="K105" s="68">
        <f t="shared" si="57"/>
        <v>7150</v>
      </c>
      <c r="L105" s="68">
        <f t="shared" si="57"/>
        <v>0</v>
      </c>
      <c r="M105" s="68">
        <f t="shared" si="57"/>
        <v>0</v>
      </c>
      <c r="N105" s="68">
        <f t="shared" si="57"/>
        <v>0</v>
      </c>
      <c r="O105" s="68">
        <f t="shared" si="57"/>
        <v>0</v>
      </c>
      <c r="P105" s="68">
        <f t="shared" si="57"/>
        <v>0</v>
      </c>
      <c r="Q105" s="68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71" t="s">
        <v>191</v>
      </c>
      <c r="B106" s="36"/>
      <c r="C106" s="67"/>
      <c r="D106" s="67"/>
      <c r="E106" s="68">
        <f t="shared" ref="E106:P106" si="58">E101-E105</f>
        <v>-22.23076923</v>
      </c>
      <c r="F106" s="68">
        <f t="shared" si="58"/>
        <v>-204.9615385</v>
      </c>
      <c r="G106" s="68">
        <f t="shared" si="58"/>
        <v>-658.2307692</v>
      </c>
      <c r="H106" s="68">
        <f t="shared" si="58"/>
        <v>-512.1538462</v>
      </c>
      <c r="I106" s="68">
        <f t="shared" si="58"/>
        <v>254.7692308</v>
      </c>
      <c r="J106" s="68">
        <f t="shared" si="58"/>
        <v>-48.03846154</v>
      </c>
      <c r="K106" s="68">
        <f t="shared" si="58"/>
        <v>125</v>
      </c>
      <c r="L106" s="68">
        <f t="shared" si="58"/>
        <v>0</v>
      </c>
      <c r="M106" s="68">
        <f t="shared" si="58"/>
        <v>0</v>
      </c>
      <c r="N106" s="68">
        <f t="shared" si="58"/>
        <v>0</v>
      </c>
      <c r="O106" s="68">
        <f t="shared" si="58"/>
        <v>0</v>
      </c>
      <c r="P106" s="68">
        <f t="shared" si="58"/>
        <v>0</v>
      </c>
      <c r="Q106" s="68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71" t="s">
        <v>192</v>
      </c>
      <c r="B107" s="36"/>
      <c r="C107" s="67"/>
      <c r="D107" s="67"/>
      <c r="E107" s="74">
        <f t="shared" ref="E107:J107" si="59">E106/E101</f>
        <v>-0.001853027359</v>
      </c>
      <c r="F107" s="74">
        <f t="shared" si="59"/>
        <v>-0.01948118415</v>
      </c>
      <c r="G107" s="74">
        <f t="shared" si="59"/>
        <v>-0.06675091464</v>
      </c>
      <c r="H107" s="74">
        <f t="shared" si="59"/>
        <v>-0.06054543636</v>
      </c>
      <c r="I107" s="74">
        <f t="shared" si="59"/>
        <v>0.03225335242</v>
      </c>
      <c r="J107" s="74">
        <f t="shared" si="59"/>
        <v>-0.006404274302</v>
      </c>
      <c r="K107" s="74">
        <f t="shared" ref="K107:P107" si="60">IF(K101&gt;0,K106/K101,0)</f>
        <v>0.01718213058</v>
      </c>
      <c r="L107" s="74">
        <f t="shared" si="60"/>
        <v>0</v>
      </c>
      <c r="M107" s="74">
        <f t="shared" si="60"/>
        <v>0</v>
      </c>
      <c r="N107" s="74">
        <f t="shared" si="60"/>
        <v>0</v>
      </c>
      <c r="O107" s="74">
        <f t="shared" si="60"/>
        <v>0</v>
      </c>
      <c r="P107" s="74">
        <f t="shared" si="60"/>
        <v>0</v>
      </c>
      <c r="Q107" s="68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71" t="s">
        <v>223</v>
      </c>
      <c r="B108" s="36"/>
      <c r="C108" s="67"/>
      <c r="D108" s="67"/>
      <c r="E108" s="75">
        <v>74785.0</v>
      </c>
      <c r="F108" s="75">
        <v>52906.72</v>
      </c>
      <c r="G108" s="75">
        <v>47083.49</v>
      </c>
      <c r="H108" s="75">
        <v>37726.88</v>
      </c>
      <c r="I108" s="75">
        <v>34785.0</v>
      </c>
      <c r="J108" s="75">
        <v>35340.68</v>
      </c>
      <c r="K108" s="76">
        <v>0.0</v>
      </c>
      <c r="L108" s="76">
        <v>0.0</v>
      </c>
      <c r="M108" s="76">
        <v>0.0</v>
      </c>
      <c r="N108" s="76">
        <v>0.0</v>
      </c>
      <c r="O108" s="76">
        <v>0.0</v>
      </c>
      <c r="P108" s="76">
        <v>0.0</v>
      </c>
      <c r="Q108" s="68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71" t="s">
        <v>224</v>
      </c>
      <c r="B109" s="36"/>
      <c r="C109" s="67"/>
      <c r="D109" s="67"/>
      <c r="E109" s="76">
        <f>3.9618223*0.75*E103</f>
        <v>59.4273345</v>
      </c>
      <c r="F109" s="76">
        <f>3.1258886*0.75*F103</f>
        <v>126.5984883</v>
      </c>
      <c r="G109" s="76">
        <f>2.93079*0.75*G103</f>
        <v>749.5495425</v>
      </c>
      <c r="H109" s="76">
        <f>2.4055708*0.75*H103</f>
        <v>1241.274533</v>
      </c>
      <c r="I109" s="76">
        <f>2.5737194*0.75*I103</f>
        <v>1453.508031</v>
      </c>
      <c r="J109" s="76">
        <f>2.7282628*0.75*J103</f>
        <v>1681.974016</v>
      </c>
      <c r="K109" s="76">
        <v>0.0</v>
      </c>
      <c r="L109" s="76">
        <v>0.0</v>
      </c>
      <c r="M109" s="76">
        <v>0.0</v>
      </c>
      <c r="N109" s="76">
        <v>0.0</v>
      </c>
      <c r="O109" s="76">
        <v>0.0</v>
      </c>
      <c r="P109" s="76">
        <v>0.0</v>
      </c>
      <c r="Q109" s="68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70" t="s">
        <v>195</v>
      </c>
      <c r="B110" s="36"/>
      <c r="C110" s="67"/>
      <c r="D110" s="67"/>
      <c r="E110" s="77">
        <f t="shared" ref="E110:P110" si="61">E108+E109</f>
        <v>74844.42733</v>
      </c>
      <c r="F110" s="77">
        <f t="shared" si="61"/>
        <v>53033.31849</v>
      </c>
      <c r="G110" s="77">
        <f t="shared" si="61"/>
        <v>47833.03954</v>
      </c>
      <c r="H110" s="77">
        <f t="shared" si="61"/>
        <v>38968.15453</v>
      </c>
      <c r="I110" s="77">
        <f t="shared" si="61"/>
        <v>36238.50803</v>
      </c>
      <c r="J110" s="77">
        <f t="shared" si="61"/>
        <v>37022.65402</v>
      </c>
      <c r="K110" s="77">
        <f t="shared" si="61"/>
        <v>0</v>
      </c>
      <c r="L110" s="77">
        <f t="shared" si="61"/>
        <v>0</v>
      </c>
      <c r="M110" s="77">
        <f t="shared" si="61"/>
        <v>0</v>
      </c>
      <c r="N110" s="77">
        <f t="shared" si="61"/>
        <v>0</v>
      </c>
      <c r="O110" s="77">
        <f t="shared" si="61"/>
        <v>0</v>
      </c>
      <c r="P110" s="77">
        <f t="shared" si="61"/>
        <v>0</v>
      </c>
      <c r="Q110" s="68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70" t="s">
        <v>225</v>
      </c>
      <c r="B111" s="36"/>
      <c r="C111" s="67"/>
      <c r="D111" s="67"/>
      <c r="E111" s="78">
        <f t="shared" ref="E111:L111" si="62">IF(E102&gt;0,E110/E102,0)</f>
        <v>5.997149626</v>
      </c>
      <c r="F111" s="78">
        <f t="shared" si="62"/>
        <v>4.777346049</v>
      </c>
      <c r="G111" s="78">
        <f t="shared" si="62"/>
        <v>4.512976653</v>
      </c>
      <c r="H111" s="78">
        <f t="shared" si="62"/>
        <v>4.176651075</v>
      </c>
      <c r="I111" s="78">
        <f t="shared" si="62"/>
        <v>4.558302897</v>
      </c>
      <c r="J111" s="78">
        <f t="shared" si="62"/>
        <v>4.715660937</v>
      </c>
      <c r="K111" s="78">
        <f t="shared" si="62"/>
        <v>0</v>
      </c>
      <c r="L111" s="78">
        <f t="shared" si="62"/>
        <v>0</v>
      </c>
      <c r="M111" s="78">
        <f t="shared" ref="M111:P111" si="63">IF(M102&gt;0,M110/M104,0)</f>
        <v>0</v>
      </c>
      <c r="N111" s="78">
        <f t="shared" si="63"/>
        <v>0</v>
      </c>
      <c r="O111" s="78">
        <f t="shared" si="63"/>
        <v>0</v>
      </c>
      <c r="P111" s="78">
        <f t="shared" si="63"/>
        <v>0</v>
      </c>
      <c r="Q111" s="68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79"/>
      <c r="B112" s="36"/>
      <c r="C112" s="80"/>
      <c r="D112" s="80"/>
      <c r="E112" s="81"/>
      <c r="F112" s="81"/>
      <c r="G112" s="81"/>
      <c r="H112" s="81"/>
      <c r="I112" s="81"/>
      <c r="J112" s="81"/>
      <c r="K112" s="81"/>
      <c r="L112" s="81"/>
      <c r="M112" s="81"/>
      <c r="N112" s="82"/>
      <c r="O112" s="81"/>
      <c r="P112" s="81"/>
      <c r="Q112" s="8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70" t="s">
        <v>226</v>
      </c>
      <c r="B113" s="36"/>
      <c r="C113" s="67"/>
      <c r="D113" s="67"/>
      <c r="E113" s="68">
        <f t="shared" ref="E113:P113" si="64">E94+E95</f>
        <v>15150</v>
      </c>
      <c r="F113" s="84">
        <f t="shared" si="64"/>
        <v>13061</v>
      </c>
      <c r="G113" s="84">
        <f t="shared" si="64"/>
        <v>11142</v>
      </c>
      <c r="H113" s="84">
        <f t="shared" si="64"/>
        <v>8763</v>
      </c>
      <c r="I113" s="84">
        <f t="shared" si="64"/>
        <v>6713</v>
      </c>
      <c r="J113" s="84">
        <f t="shared" si="64"/>
        <v>7106</v>
      </c>
      <c r="K113" s="84">
        <f t="shared" si="64"/>
        <v>7375</v>
      </c>
      <c r="L113" s="84">
        <f t="shared" si="64"/>
        <v>0</v>
      </c>
      <c r="M113" s="84">
        <f t="shared" si="64"/>
        <v>0</v>
      </c>
      <c r="N113" s="84">
        <f t="shared" si="64"/>
        <v>0</v>
      </c>
      <c r="O113" s="84">
        <f t="shared" si="64"/>
        <v>0</v>
      </c>
      <c r="P113" s="85">
        <f t="shared" si="64"/>
        <v>0</v>
      </c>
      <c r="Q113" s="68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70" t="s">
        <v>227</v>
      </c>
      <c r="B114" s="36"/>
      <c r="C114" s="67"/>
      <c r="D114" s="67"/>
      <c r="E114" s="75">
        <v>68125.09</v>
      </c>
      <c r="F114" s="75">
        <v>59958.34</v>
      </c>
      <c r="G114" s="75">
        <v>52267.39</v>
      </c>
      <c r="H114" s="75">
        <v>43221.49</v>
      </c>
      <c r="I114" s="75">
        <v>35537.0</v>
      </c>
      <c r="J114" s="75">
        <v>37052.06</v>
      </c>
      <c r="K114" s="76">
        <v>0.0</v>
      </c>
      <c r="L114" s="76">
        <v>0.0</v>
      </c>
      <c r="M114" s="76">
        <v>0.0</v>
      </c>
      <c r="N114" s="76">
        <v>0.0</v>
      </c>
      <c r="O114" s="76">
        <v>0.0</v>
      </c>
      <c r="P114" s="76">
        <v>0.0</v>
      </c>
      <c r="Q114" s="68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70" t="s">
        <v>228</v>
      </c>
      <c r="B115" s="36"/>
      <c r="C115" s="67"/>
      <c r="D115" s="67"/>
      <c r="E115" s="78">
        <f t="shared" ref="E115:P115" si="65">IF(E113&gt;0,E114/E113,0)</f>
        <v>4.496705611</v>
      </c>
      <c r="F115" s="78">
        <f t="shared" si="65"/>
        <v>4.590639308</v>
      </c>
      <c r="G115" s="78">
        <f t="shared" si="65"/>
        <v>4.691024053</v>
      </c>
      <c r="H115" s="78">
        <f t="shared" si="65"/>
        <v>4.932270912</v>
      </c>
      <c r="I115" s="78">
        <f t="shared" si="65"/>
        <v>5.293758379</v>
      </c>
      <c r="J115" s="78">
        <f t="shared" si="65"/>
        <v>5.214193639</v>
      </c>
      <c r="K115" s="78">
        <f t="shared" si="65"/>
        <v>0</v>
      </c>
      <c r="L115" s="78">
        <f t="shared" si="65"/>
        <v>0</v>
      </c>
      <c r="M115" s="78">
        <f t="shared" si="65"/>
        <v>0</v>
      </c>
      <c r="N115" s="78">
        <f t="shared" si="65"/>
        <v>0</v>
      </c>
      <c r="O115" s="78">
        <f t="shared" si="65"/>
        <v>0</v>
      </c>
      <c r="P115" s="78">
        <f t="shared" si="65"/>
        <v>0</v>
      </c>
      <c r="Q115" s="68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66"/>
      <c r="B116" s="36"/>
      <c r="C116" s="67"/>
      <c r="D116" s="67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68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70" t="s">
        <v>229</v>
      </c>
      <c r="B117" s="36"/>
      <c r="C117" s="67"/>
      <c r="D117" s="67"/>
      <c r="E117" s="87">
        <f t="shared" ref="E117:P117" si="66">E114+E110</f>
        <v>142969.5173</v>
      </c>
      <c r="F117" s="87">
        <f t="shared" si="66"/>
        <v>112991.6585</v>
      </c>
      <c r="G117" s="87">
        <f t="shared" si="66"/>
        <v>100100.4295</v>
      </c>
      <c r="H117" s="87">
        <f t="shared" si="66"/>
        <v>82189.64453</v>
      </c>
      <c r="I117" s="87">
        <f t="shared" si="66"/>
        <v>71775.50803</v>
      </c>
      <c r="J117" s="87">
        <f t="shared" si="66"/>
        <v>74074.71402</v>
      </c>
      <c r="K117" s="87">
        <f t="shared" si="66"/>
        <v>0</v>
      </c>
      <c r="L117" s="87">
        <f t="shared" si="66"/>
        <v>0</v>
      </c>
      <c r="M117" s="87">
        <f t="shared" si="66"/>
        <v>0</v>
      </c>
      <c r="N117" s="87">
        <f t="shared" si="66"/>
        <v>0</v>
      </c>
      <c r="O117" s="87">
        <f t="shared" si="66"/>
        <v>0</v>
      </c>
      <c r="P117" s="87">
        <f t="shared" si="66"/>
        <v>0</v>
      </c>
      <c r="Q117" s="68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0">
    <mergeCell ref="A98:B98"/>
    <mergeCell ref="A99:B99"/>
    <mergeCell ref="A100:B100"/>
    <mergeCell ref="A101:B101"/>
    <mergeCell ref="A102:B102"/>
    <mergeCell ref="A103:B103"/>
    <mergeCell ref="A104:B104"/>
    <mergeCell ref="A112:B112"/>
    <mergeCell ref="A113:B113"/>
    <mergeCell ref="A114:B114"/>
    <mergeCell ref="A115:B115"/>
    <mergeCell ref="A116:B116"/>
    <mergeCell ref="A117:B117"/>
    <mergeCell ref="A105:B105"/>
    <mergeCell ref="A106:B106"/>
    <mergeCell ref="A107:B107"/>
    <mergeCell ref="A108:B108"/>
    <mergeCell ref="A109:B109"/>
    <mergeCell ref="A110:B110"/>
    <mergeCell ref="A111:B111"/>
  </mergeCells>
  <conditionalFormatting sqref="E106:P106">
    <cfRule type="cellIs" dxfId="7" priority="1" operator="lessThan">
      <formula>0</formula>
    </cfRule>
  </conditionalFormatting>
  <dataValidations>
    <dataValidation type="custom" allowBlank="1" showDropDown="1" sqref="Q51:Q97">
      <formula1>OR(NOT(ISERROR(DATEVALUE(Q51))), AND(ISNUMBER(Q51), LEFT(CELL("format", Q51))="D"))</formula1>
    </dataValidation>
    <dataValidation type="custom" allowBlank="1" showDropDown="1" sqref="E2:Q48 D51:P97">
      <formula1>AND(ISNUMBER(D2),(NOT(OR(NOT(ISERROR(DATEVALUE(D2))), AND(ISNUMBER(D2), LEFT(CELL("format", D2))="D")))))</formula1>
    </dataValidation>
    <dataValidation allowBlank="1" showDropDown="1" sqref="A2:B48 D2:D48 A51:B97"/>
  </dataValidations>
  <printOptions/>
  <pageMargins bottom="0.75" footer="0.0" header="0.0" left="0.5" right="0.5" top="0.75"/>
  <pageSetup scale="72" orientation="portrait"/>
  <headerFooter>
    <oddFooter>&amp;C000000&amp;P</oddFooter>
  </headerFooter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0.0"/>
    <col customWidth="1" min="2" max="2" width="38.71"/>
    <col customWidth="1" min="3" max="3" width="44.14"/>
    <col customWidth="1" min="4" max="4" width="12.71"/>
    <col customWidth="1" min="5" max="5" width="15.43"/>
    <col customWidth="1" min="6" max="6" width="15.71"/>
    <col customWidth="1" min="7" max="7" width="16.86"/>
    <col customWidth="1" min="8" max="8" width="16.29"/>
    <col customWidth="1" min="9" max="11" width="16.71"/>
    <col customWidth="1" min="12" max="12" width="15.71"/>
    <col customWidth="1" min="13" max="13" width="13.71"/>
    <col customWidth="1" min="14" max="14" width="14.43"/>
    <col customWidth="1" min="15" max="15" width="15.43"/>
    <col customWidth="1" min="16" max="16" width="16.29"/>
    <col customWidth="1" min="17" max="17" width="16.57"/>
    <col customWidth="1" min="18" max="26" width="16.29"/>
  </cols>
  <sheetData>
    <row r="1" ht="13.5" customHeight="1">
      <c r="A1" s="8" t="s">
        <v>8</v>
      </c>
      <c r="B1" s="8" t="s">
        <v>9</v>
      </c>
      <c r="C1" s="8" t="s">
        <v>10</v>
      </c>
      <c r="D1" s="8" t="s">
        <v>12</v>
      </c>
      <c r="E1" s="10" t="s">
        <v>13</v>
      </c>
      <c r="F1" s="10" t="s">
        <v>14</v>
      </c>
      <c r="G1" s="10" t="s">
        <v>16</v>
      </c>
      <c r="H1" s="10" t="s">
        <v>17</v>
      </c>
      <c r="I1" s="10" t="s">
        <v>18</v>
      </c>
      <c r="J1" s="10" t="s">
        <v>19</v>
      </c>
      <c r="K1" s="10" t="s">
        <v>20</v>
      </c>
      <c r="L1" s="10" t="s">
        <v>21</v>
      </c>
      <c r="M1" s="10" t="s">
        <v>23</v>
      </c>
      <c r="N1" s="10" t="s">
        <v>24</v>
      </c>
      <c r="O1" s="10" t="s">
        <v>25</v>
      </c>
      <c r="P1" s="10" t="s">
        <v>27</v>
      </c>
      <c r="Q1" s="10" t="s">
        <v>28</v>
      </c>
      <c r="R1" s="11"/>
      <c r="S1" s="11"/>
      <c r="T1" s="11"/>
      <c r="U1" s="11"/>
      <c r="V1" s="11"/>
      <c r="W1" s="11"/>
      <c r="X1" s="11"/>
      <c r="Y1" s="11"/>
      <c r="Z1" s="11"/>
    </row>
    <row r="2" ht="13.5" customHeight="1">
      <c r="A2" s="16" t="s">
        <v>34</v>
      </c>
      <c r="B2" s="16" t="s">
        <v>29</v>
      </c>
      <c r="C2" s="18" t="s">
        <v>37</v>
      </c>
      <c r="D2" s="18" t="s">
        <v>38</v>
      </c>
      <c r="E2" s="19">
        <v>3887.0</v>
      </c>
      <c r="F2" s="20">
        <v>3899.0</v>
      </c>
      <c r="G2" s="20">
        <v>3961.0</v>
      </c>
      <c r="H2" s="20">
        <v>3977.0</v>
      </c>
      <c r="I2" s="20">
        <v>4000.0</v>
      </c>
      <c r="J2" s="20">
        <v>4014.0</v>
      </c>
      <c r="K2" s="20">
        <v>4028.0</v>
      </c>
      <c r="L2" s="20">
        <v>4047.0</v>
      </c>
      <c r="M2" s="19">
        <v>0.0</v>
      </c>
      <c r="N2" s="19">
        <v>0.0</v>
      </c>
      <c r="O2" s="19">
        <v>0.0</v>
      </c>
      <c r="P2" s="19">
        <v>0.0</v>
      </c>
      <c r="Q2" s="19">
        <v>0.0</v>
      </c>
      <c r="R2" s="11"/>
      <c r="S2" s="11"/>
      <c r="T2" s="11"/>
      <c r="U2" s="11"/>
      <c r="V2" s="11"/>
      <c r="W2" s="11"/>
      <c r="X2" s="11"/>
      <c r="Y2" s="11"/>
      <c r="Z2" s="11"/>
    </row>
    <row r="3" ht="13.5" customHeight="1">
      <c r="A3" s="16" t="s">
        <v>45</v>
      </c>
      <c r="B3" s="16" t="s">
        <v>29</v>
      </c>
      <c r="C3" s="18" t="s">
        <v>46</v>
      </c>
      <c r="D3" s="18" t="s">
        <v>38</v>
      </c>
      <c r="E3" s="19">
        <v>397.0</v>
      </c>
      <c r="F3" s="20">
        <v>398.0</v>
      </c>
      <c r="G3" s="20">
        <v>398.0</v>
      </c>
      <c r="H3" s="20">
        <v>400.0</v>
      </c>
      <c r="I3" s="20">
        <v>401.0</v>
      </c>
      <c r="J3" s="20">
        <v>401.0</v>
      </c>
      <c r="K3" s="20">
        <v>402.0</v>
      </c>
      <c r="L3" s="20">
        <v>403.0</v>
      </c>
      <c r="M3" s="19">
        <v>0.0</v>
      </c>
      <c r="N3" s="19">
        <v>0.0</v>
      </c>
      <c r="O3" s="19">
        <v>0.0</v>
      </c>
      <c r="P3" s="19">
        <v>0.0</v>
      </c>
      <c r="Q3" s="19">
        <v>0.0</v>
      </c>
      <c r="R3" s="11"/>
      <c r="S3" s="11"/>
      <c r="T3" s="11"/>
      <c r="U3" s="11"/>
      <c r="V3" s="11"/>
      <c r="W3" s="11"/>
      <c r="X3" s="11"/>
      <c r="Y3" s="11"/>
      <c r="Z3" s="11"/>
    </row>
    <row r="4" ht="13.5" customHeight="1">
      <c r="A4" s="16" t="s">
        <v>54</v>
      </c>
      <c r="B4" s="16" t="s">
        <v>3</v>
      </c>
      <c r="C4" s="18" t="s">
        <v>56</v>
      </c>
      <c r="D4" s="18" t="s">
        <v>38</v>
      </c>
      <c r="E4" s="19">
        <v>0.0</v>
      </c>
      <c r="F4" s="20">
        <v>0.0</v>
      </c>
      <c r="G4" s="19">
        <v>0.0</v>
      </c>
      <c r="H4" s="19">
        <v>0.0</v>
      </c>
      <c r="I4" s="19">
        <v>0.0</v>
      </c>
      <c r="J4" s="19">
        <v>0.0</v>
      </c>
      <c r="K4" s="19">
        <v>0.0</v>
      </c>
      <c r="L4" s="19">
        <v>0.0</v>
      </c>
      <c r="M4" s="19">
        <v>0.0</v>
      </c>
      <c r="N4" s="19">
        <v>0.0</v>
      </c>
      <c r="O4" s="19">
        <v>0.0</v>
      </c>
      <c r="P4" s="19">
        <v>0.0</v>
      </c>
      <c r="Q4" s="19">
        <v>0.0</v>
      </c>
      <c r="R4" s="11"/>
      <c r="S4" s="11"/>
      <c r="T4" s="11"/>
      <c r="U4" s="11"/>
      <c r="V4" s="11"/>
      <c r="W4" s="11"/>
      <c r="X4" s="11"/>
      <c r="Y4" s="11"/>
      <c r="Z4" s="11"/>
    </row>
    <row r="5" ht="13.5" customHeight="1">
      <c r="A5" s="16" t="s">
        <v>65</v>
      </c>
      <c r="B5" s="16" t="s">
        <v>11</v>
      </c>
      <c r="C5" s="18"/>
      <c r="D5" s="18" t="s">
        <v>38</v>
      </c>
      <c r="E5" s="19">
        <v>1109.0</v>
      </c>
      <c r="F5" s="20">
        <v>1113.0</v>
      </c>
      <c r="G5" s="20">
        <v>1117.0</v>
      </c>
      <c r="H5" s="20">
        <v>1122.0</v>
      </c>
      <c r="I5" s="20">
        <v>1126.0</v>
      </c>
      <c r="J5" s="20">
        <v>1132.0</v>
      </c>
      <c r="K5" s="20">
        <v>1137.0</v>
      </c>
      <c r="L5" s="20">
        <v>1143.0</v>
      </c>
      <c r="M5" s="19">
        <v>0.0</v>
      </c>
      <c r="N5" s="19">
        <v>0.0</v>
      </c>
      <c r="O5" s="19">
        <v>0.0</v>
      </c>
      <c r="P5" s="19">
        <v>0.0</v>
      </c>
      <c r="Q5" s="19">
        <v>0.0</v>
      </c>
      <c r="R5" s="11"/>
      <c r="S5" s="11"/>
      <c r="T5" s="11"/>
      <c r="U5" s="11"/>
      <c r="V5" s="11"/>
      <c r="W5" s="11"/>
      <c r="X5" s="11"/>
      <c r="Y5" s="11"/>
      <c r="Z5" s="11"/>
    </row>
    <row r="6" ht="13.5" customHeight="1">
      <c r="A6" s="16" t="s">
        <v>73</v>
      </c>
      <c r="B6" s="16" t="s">
        <v>29</v>
      </c>
      <c r="C6" s="18" t="s">
        <v>75</v>
      </c>
      <c r="D6" s="18" t="s">
        <v>38</v>
      </c>
      <c r="E6" s="19">
        <v>6684.0</v>
      </c>
      <c r="F6" s="20">
        <v>6685.0</v>
      </c>
      <c r="G6" s="20">
        <v>6688.0</v>
      </c>
      <c r="H6" s="20">
        <v>6690.0</v>
      </c>
      <c r="I6" s="20">
        <v>6693.0</v>
      </c>
      <c r="J6" s="20">
        <v>6696.0</v>
      </c>
      <c r="K6" s="20">
        <v>6697.0</v>
      </c>
      <c r="L6" s="20">
        <v>6698.0</v>
      </c>
      <c r="M6" s="19">
        <v>0.0</v>
      </c>
      <c r="N6" s="19">
        <v>0.0</v>
      </c>
      <c r="O6" s="19">
        <v>0.0</v>
      </c>
      <c r="P6" s="19">
        <v>0.0</v>
      </c>
      <c r="Q6" s="19">
        <v>0.0</v>
      </c>
      <c r="R6" s="11"/>
      <c r="S6" s="11"/>
      <c r="T6" s="11"/>
      <c r="U6" s="11"/>
      <c r="V6" s="11"/>
      <c r="W6" s="11"/>
      <c r="X6" s="11"/>
      <c r="Y6" s="11"/>
      <c r="Z6" s="11"/>
    </row>
    <row r="7" ht="13.5" customHeight="1">
      <c r="A7" s="16" t="s">
        <v>81</v>
      </c>
      <c r="B7" s="16" t="s">
        <v>61</v>
      </c>
      <c r="C7" s="18" t="s">
        <v>83</v>
      </c>
      <c r="D7" s="18" t="s">
        <v>38</v>
      </c>
      <c r="E7" s="19">
        <v>1272.0</v>
      </c>
      <c r="F7" s="20">
        <v>1280.0</v>
      </c>
      <c r="G7" s="20">
        <v>1287.0</v>
      </c>
      <c r="H7" s="20">
        <v>1294.0</v>
      </c>
      <c r="I7" s="20">
        <v>1300.0</v>
      </c>
      <c r="J7" s="20">
        <v>1308.0</v>
      </c>
      <c r="K7" s="20">
        <v>1316.0</v>
      </c>
      <c r="L7" s="20">
        <v>1323.0</v>
      </c>
      <c r="M7" s="19">
        <v>0.0</v>
      </c>
      <c r="N7" s="19">
        <v>0.0</v>
      </c>
      <c r="O7" s="19">
        <v>0.0</v>
      </c>
      <c r="P7" s="19">
        <v>0.0</v>
      </c>
      <c r="Q7" s="19">
        <v>0.0</v>
      </c>
      <c r="R7" s="11"/>
      <c r="S7" s="11"/>
      <c r="T7" s="11"/>
      <c r="U7" s="11"/>
      <c r="V7" s="11"/>
      <c r="W7" s="11"/>
      <c r="X7" s="11"/>
      <c r="Y7" s="11"/>
      <c r="Z7" s="11"/>
    </row>
    <row r="8" ht="13.5" customHeight="1">
      <c r="A8" s="16" t="s">
        <v>90</v>
      </c>
      <c r="B8" s="16" t="s">
        <v>63</v>
      </c>
      <c r="C8" s="18"/>
      <c r="D8" s="18" t="s">
        <v>38</v>
      </c>
      <c r="E8" s="19">
        <v>6643.0</v>
      </c>
      <c r="F8" s="20">
        <v>6643.0</v>
      </c>
      <c r="G8" s="20">
        <v>6643.0</v>
      </c>
      <c r="H8" s="20">
        <v>6643.0</v>
      </c>
      <c r="I8" s="20">
        <v>6643.0</v>
      </c>
      <c r="J8" s="20">
        <v>6643.0</v>
      </c>
      <c r="K8" s="20">
        <v>6644.0</v>
      </c>
      <c r="L8" s="20">
        <v>6644.0</v>
      </c>
      <c r="M8" s="19">
        <v>0.0</v>
      </c>
      <c r="N8" s="19">
        <v>0.0</v>
      </c>
      <c r="O8" s="19">
        <v>0.0</v>
      </c>
      <c r="P8" s="19">
        <v>0.0</v>
      </c>
      <c r="Q8" s="19">
        <v>0.0</v>
      </c>
      <c r="R8" s="11"/>
      <c r="S8" s="11"/>
      <c r="T8" s="11"/>
      <c r="U8" s="11"/>
      <c r="V8" s="11"/>
      <c r="W8" s="11"/>
      <c r="X8" s="11"/>
      <c r="Y8" s="11"/>
      <c r="Z8" s="11"/>
    </row>
    <row r="9" ht="13.5" customHeight="1">
      <c r="A9" s="16" t="s">
        <v>95</v>
      </c>
      <c r="B9" s="16" t="s">
        <v>39</v>
      </c>
      <c r="C9" s="18"/>
      <c r="D9" s="18" t="s">
        <v>38</v>
      </c>
      <c r="E9" s="19">
        <v>33695.0</v>
      </c>
      <c r="F9" s="20">
        <v>33727.0</v>
      </c>
      <c r="G9" s="20">
        <v>33756.0</v>
      </c>
      <c r="H9" s="20">
        <v>33789.0</v>
      </c>
      <c r="I9" s="20">
        <v>33816.0</v>
      </c>
      <c r="J9" s="20">
        <v>33847.0</v>
      </c>
      <c r="K9" s="20">
        <v>33880.0</v>
      </c>
      <c r="L9" s="20">
        <v>33908.0</v>
      </c>
      <c r="M9" s="19">
        <v>0.0</v>
      </c>
      <c r="N9" s="19">
        <v>0.0</v>
      </c>
      <c r="O9" s="19">
        <v>0.0</v>
      </c>
      <c r="P9" s="19">
        <v>0.0</v>
      </c>
      <c r="Q9" s="19">
        <v>0.0</v>
      </c>
      <c r="R9" s="11"/>
      <c r="S9" s="11"/>
      <c r="T9" s="11"/>
      <c r="U9" s="11"/>
      <c r="V9" s="11"/>
      <c r="W9" s="11"/>
      <c r="X9" s="11"/>
      <c r="Y9" s="11"/>
      <c r="Z9" s="11"/>
    </row>
    <row r="10" ht="13.5" customHeight="1">
      <c r="A10" s="16" t="s">
        <v>98</v>
      </c>
      <c r="B10" s="16" t="s">
        <v>6</v>
      </c>
      <c r="C10" s="18" t="s">
        <v>99</v>
      </c>
      <c r="D10" s="18" t="s">
        <v>38</v>
      </c>
      <c r="E10" s="19">
        <v>0.0</v>
      </c>
      <c r="F10" s="19">
        <v>0.0</v>
      </c>
      <c r="G10" s="19">
        <v>0.0</v>
      </c>
      <c r="H10" s="19">
        <v>0.0</v>
      </c>
      <c r="I10" s="19">
        <v>0.0</v>
      </c>
      <c r="J10" s="19">
        <v>0.0</v>
      </c>
      <c r="K10" s="19">
        <v>0.0</v>
      </c>
      <c r="L10" s="19">
        <v>0.0</v>
      </c>
      <c r="M10" s="19">
        <v>0.0</v>
      </c>
      <c r="N10" s="19">
        <v>0.0</v>
      </c>
      <c r="O10" s="19">
        <v>0.0</v>
      </c>
      <c r="P10" s="19">
        <v>0.0</v>
      </c>
      <c r="Q10" s="19">
        <v>0.0</v>
      </c>
      <c r="R10" s="11"/>
      <c r="S10" s="11"/>
      <c r="T10" s="11"/>
      <c r="U10" s="11"/>
      <c r="V10" s="11"/>
      <c r="W10" s="11"/>
      <c r="X10" s="11"/>
      <c r="Y10" s="11"/>
      <c r="Z10" s="11"/>
    </row>
    <row r="11" ht="13.5" customHeight="1">
      <c r="A11" s="16" t="s">
        <v>103</v>
      </c>
      <c r="B11" s="16" t="s">
        <v>29</v>
      </c>
      <c r="C11" s="18" t="s">
        <v>104</v>
      </c>
      <c r="D11" s="18" t="s">
        <v>38</v>
      </c>
      <c r="E11" s="19">
        <v>203.0</v>
      </c>
      <c r="F11" s="20">
        <v>206.0</v>
      </c>
      <c r="G11" s="20">
        <v>209.0</v>
      </c>
      <c r="H11" s="20">
        <v>213.0</v>
      </c>
      <c r="I11" s="20">
        <v>216.0</v>
      </c>
      <c r="J11" s="20">
        <v>219.0</v>
      </c>
      <c r="K11" s="20">
        <v>222.0</v>
      </c>
      <c r="L11" s="20">
        <v>225.0</v>
      </c>
      <c r="M11" s="19">
        <v>0.0</v>
      </c>
      <c r="N11" s="19">
        <v>0.0</v>
      </c>
      <c r="O11" s="19">
        <v>0.0</v>
      </c>
      <c r="P11" s="19">
        <v>0.0</v>
      </c>
      <c r="Q11" s="19">
        <v>0.0</v>
      </c>
      <c r="R11" s="11"/>
      <c r="S11" s="11"/>
      <c r="T11" s="11"/>
      <c r="U11" s="11"/>
      <c r="V11" s="11"/>
      <c r="W11" s="11"/>
      <c r="X11" s="11"/>
      <c r="Y11" s="11"/>
      <c r="Z11" s="11"/>
    </row>
    <row r="12" ht="13.5" customHeight="1">
      <c r="A12" s="16" t="s">
        <v>107</v>
      </c>
      <c r="B12" s="16" t="s">
        <v>61</v>
      </c>
      <c r="C12" s="18"/>
      <c r="D12" s="18" t="s">
        <v>38</v>
      </c>
      <c r="E12" s="19">
        <v>1475.0</v>
      </c>
      <c r="F12" s="20">
        <v>1484.0</v>
      </c>
      <c r="G12" s="20">
        <v>1493.0</v>
      </c>
      <c r="H12" s="20">
        <v>1501.0</v>
      </c>
      <c r="I12" s="20">
        <v>1509.0</v>
      </c>
      <c r="J12" s="20">
        <v>1517.0</v>
      </c>
      <c r="K12" s="20">
        <v>1525.0</v>
      </c>
      <c r="L12" s="20">
        <v>1532.0</v>
      </c>
      <c r="M12" s="19">
        <v>0.0</v>
      </c>
      <c r="N12" s="19">
        <v>0.0</v>
      </c>
      <c r="O12" s="19">
        <v>0.0</v>
      </c>
      <c r="P12" s="19">
        <v>0.0</v>
      </c>
      <c r="Q12" s="19">
        <v>0.0</v>
      </c>
      <c r="R12" s="11"/>
      <c r="S12" s="11"/>
      <c r="T12" s="11"/>
      <c r="U12" s="11"/>
      <c r="V12" s="11"/>
      <c r="W12" s="11"/>
      <c r="X12" s="11"/>
      <c r="Y12" s="11"/>
      <c r="Z12" s="11"/>
    </row>
    <row r="13" ht="13.5" customHeight="1">
      <c r="A13" s="16" t="s">
        <v>111</v>
      </c>
      <c r="B13" s="16" t="s">
        <v>72</v>
      </c>
      <c r="C13" s="18"/>
      <c r="D13" s="18" t="s">
        <v>38</v>
      </c>
      <c r="E13" s="19">
        <v>2809.0</v>
      </c>
      <c r="F13" s="20">
        <v>2818.0</v>
      </c>
      <c r="G13" s="20">
        <v>2825.0</v>
      </c>
      <c r="H13" s="20">
        <v>2835.0</v>
      </c>
      <c r="I13" s="20">
        <v>2843.0</v>
      </c>
      <c r="J13" s="20">
        <v>2852.0</v>
      </c>
      <c r="K13" s="20">
        <v>2852.0</v>
      </c>
      <c r="L13" s="20">
        <v>2863.0</v>
      </c>
      <c r="M13" s="19">
        <v>0.0</v>
      </c>
      <c r="N13" s="19">
        <v>0.0</v>
      </c>
      <c r="O13" s="19">
        <v>0.0</v>
      </c>
      <c r="P13" s="19">
        <v>0.0</v>
      </c>
      <c r="Q13" s="19">
        <v>0.0</v>
      </c>
      <c r="R13" s="11"/>
      <c r="S13" s="11"/>
      <c r="T13" s="11"/>
      <c r="U13" s="11"/>
      <c r="V13" s="11"/>
      <c r="W13" s="11"/>
      <c r="X13" s="11"/>
      <c r="Y13" s="11"/>
      <c r="Z13" s="11"/>
    </row>
    <row r="14" ht="13.5" customHeight="1">
      <c r="A14" s="16" t="s">
        <v>117</v>
      </c>
      <c r="B14" s="16" t="s">
        <v>52</v>
      </c>
      <c r="C14" s="18" t="s">
        <v>99</v>
      </c>
      <c r="D14" s="18" t="s">
        <v>38</v>
      </c>
      <c r="E14" s="19">
        <v>0.0</v>
      </c>
      <c r="F14" s="20">
        <v>0.0</v>
      </c>
      <c r="G14" s="19">
        <v>0.0</v>
      </c>
      <c r="H14" s="19">
        <v>0.0</v>
      </c>
      <c r="I14" s="19">
        <v>0.0</v>
      </c>
      <c r="J14" s="19">
        <v>0.0</v>
      </c>
      <c r="K14" s="19">
        <v>0.0</v>
      </c>
      <c r="L14" s="19">
        <v>0.0</v>
      </c>
      <c r="M14" s="19">
        <v>0.0</v>
      </c>
      <c r="N14" s="19">
        <v>0.0</v>
      </c>
      <c r="O14" s="19">
        <v>0.0</v>
      </c>
      <c r="P14" s="19">
        <v>0.0</v>
      </c>
      <c r="Q14" s="19">
        <v>0.0</v>
      </c>
      <c r="R14" s="11"/>
      <c r="S14" s="11"/>
      <c r="T14" s="11"/>
      <c r="U14" s="11"/>
      <c r="V14" s="11"/>
      <c r="W14" s="11"/>
      <c r="X14" s="11"/>
      <c r="Y14" s="11"/>
      <c r="Z14" s="11"/>
    </row>
    <row r="15" ht="13.5" customHeight="1">
      <c r="A15" s="16" t="s">
        <v>121</v>
      </c>
      <c r="B15" s="16" t="s">
        <v>70</v>
      </c>
      <c r="C15" s="18" t="s">
        <v>124</v>
      </c>
      <c r="D15" s="18" t="s">
        <v>38</v>
      </c>
      <c r="E15" s="19">
        <v>18.0</v>
      </c>
      <c r="F15" s="20">
        <v>18.0</v>
      </c>
      <c r="G15" s="20">
        <v>18.0</v>
      </c>
      <c r="H15" s="20">
        <v>18.0</v>
      </c>
      <c r="I15" s="20">
        <v>18.0</v>
      </c>
      <c r="J15" s="20">
        <v>18.0</v>
      </c>
      <c r="K15" s="20">
        <v>18.0</v>
      </c>
      <c r="L15" s="20">
        <v>18.0</v>
      </c>
      <c r="M15" s="19">
        <v>0.0</v>
      </c>
      <c r="N15" s="19">
        <v>0.0</v>
      </c>
      <c r="O15" s="19">
        <v>0.0</v>
      </c>
      <c r="P15" s="19">
        <v>0.0</v>
      </c>
      <c r="Q15" s="19">
        <v>0.0</v>
      </c>
      <c r="R15" s="11"/>
      <c r="S15" s="11"/>
      <c r="T15" s="11"/>
      <c r="U15" s="11"/>
      <c r="V15" s="11"/>
      <c r="W15" s="11"/>
      <c r="X15" s="11"/>
      <c r="Y15" s="11"/>
      <c r="Z15" s="11"/>
    </row>
    <row r="16" ht="13.5" customHeight="1">
      <c r="A16" s="16" t="s">
        <v>125</v>
      </c>
      <c r="B16" s="16" t="s">
        <v>29</v>
      </c>
      <c r="C16" s="18" t="s">
        <v>127</v>
      </c>
      <c r="D16" s="18" t="s">
        <v>38</v>
      </c>
      <c r="E16" s="19">
        <v>128.0</v>
      </c>
      <c r="F16" s="20">
        <v>137.0</v>
      </c>
      <c r="G16" s="20">
        <v>147.0</v>
      </c>
      <c r="H16" s="20">
        <v>158.0</v>
      </c>
      <c r="I16" s="20">
        <v>167.0</v>
      </c>
      <c r="J16" s="20">
        <v>176.0</v>
      </c>
      <c r="K16" s="20">
        <v>184.0</v>
      </c>
      <c r="L16" s="20">
        <v>190.0</v>
      </c>
      <c r="M16" s="19">
        <v>0.0</v>
      </c>
      <c r="N16" s="19">
        <v>0.0</v>
      </c>
      <c r="O16" s="19">
        <v>0.0</v>
      </c>
      <c r="P16" s="19">
        <v>0.0</v>
      </c>
      <c r="Q16" s="19">
        <v>0.0</v>
      </c>
      <c r="R16" s="11"/>
      <c r="S16" s="11"/>
      <c r="T16" s="11"/>
      <c r="U16" s="11"/>
      <c r="V16" s="11"/>
      <c r="W16" s="11"/>
      <c r="X16" s="11"/>
      <c r="Y16" s="11"/>
      <c r="Z16" s="11"/>
    </row>
    <row r="17" ht="13.5" customHeight="1">
      <c r="A17" s="16" t="s">
        <v>130</v>
      </c>
      <c r="B17" s="16" t="s">
        <v>6</v>
      </c>
      <c r="C17" s="18" t="s">
        <v>131</v>
      </c>
      <c r="D17" s="18" t="s">
        <v>38</v>
      </c>
      <c r="E17" s="19">
        <v>1792.0</v>
      </c>
      <c r="F17" s="20">
        <v>1878.0</v>
      </c>
      <c r="G17" s="20">
        <v>2009.0</v>
      </c>
      <c r="H17" s="20">
        <v>2108.0</v>
      </c>
      <c r="I17" s="20">
        <v>2191.0</v>
      </c>
      <c r="J17" s="20">
        <v>2277.0</v>
      </c>
      <c r="K17" s="20">
        <v>2362.0</v>
      </c>
      <c r="L17" s="20">
        <v>2438.0</v>
      </c>
      <c r="M17" s="19">
        <v>0.0</v>
      </c>
      <c r="N17" s="19">
        <v>0.0</v>
      </c>
      <c r="O17" s="19">
        <v>0.0</v>
      </c>
      <c r="P17" s="19">
        <v>0.0</v>
      </c>
      <c r="Q17" s="19">
        <v>0.0</v>
      </c>
      <c r="R17" s="11"/>
      <c r="S17" s="11"/>
      <c r="T17" s="11"/>
      <c r="U17" s="11"/>
      <c r="V17" s="11"/>
      <c r="W17" s="11"/>
      <c r="X17" s="11"/>
      <c r="Y17" s="11"/>
      <c r="Z17" s="11"/>
    </row>
    <row r="18" ht="13.5" customHeight="1">
      <c r="A18" s="28"/>
      <c r="B18" s="28"/>
      <c r="C18" s="28"/>
      <c r="D18" s="28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3.5" customHeight="1">
      <c r="A19" s="8" t="s">
        <v>133</v>
      </c>
      <c r="B19" s="8" t="s">
        <v>9</v>
      </c>
      <c r="C19" s="8" t="s">
        <v>10</v>
      </c>
      <c r="D19" s="8" t="s">
        <v>134</v>
      </c>
      <c r="E19" s="29" t="s">
        <v>135</v>
      </c>
      <c r="F19" s="29" t="s">
        <v>136</v>
      </c>
      <c r="G19" s="29" t="s">
        <v>137</v>
      </c>
      <c r="H19" s="29" t="s">
        <v>138</v>
      </c>
      <c r="I19" s="29" t="s">
        <v>139</v>
      </c>
      <c r="J19" s="29" t="s">
        <v>149</v>
      </c>
      <c r="K19" s="29" t="s">
        <v>141</v>
      </c>
      <c r="L19" s="29" t="s">
        <v>140</v>
      </c>
      <c r="M19" s="29" t="s">
        <v>143</v>
      </c>
      <c r="N19" s="29" t="s">
        <v>144</v>
      </c>
      <c r="O19" s="29" t="s">
        <v>145</v>
      </c>
      <c r="P19" s="29" t="s">
        <v>146</v>
      </c>
      <c r="Q19" s="8" t="s">
        <v>148</v>
      </c>
      <c r="R19" s="11"/>
      <c r="S19" s="11"/>
      <c r="T19" s="11"/>
      <c r="U19" s="11"/>
      <c r="V19" s="11"/>
      <c r="W19" s="11"/>
      <c r="X19" s="11"/>
      <c r="Y19" s="11"/>
      <c r="Z19" s="11"/>
    </row>
    <row r="20" ht="13.5" customHeight="1">
      <c r="A20" s="16" t="str">
        <f t="shared" ref="A20:A35" si="2">$A2</f>
        <v>W_A1</v>
      </c>
      <c r="B20" s="16" t="str">
        <f t="shared" ref="B20:B35" si="3">B2</f>
        <v>výpočet</v>
      </c>
      <c r="C20" s="24"/>
      <c r="D20" s="30">
        <v>1.0</v>
      </c>
      <c r="E20" s="30">
        <f t="shared" ref="E20:P20" si="1">$D20*IF(F2=0,0,(F2-E2))</f>
        <v>12</v>
      </c>
      <c r="F20" s="30">
        <f t="shared" si="1"/>
        <v>62</v>
      </c>
      <c r="G20" s="30">
        <f t="shared" si="1"/>
        <v>16</v>
      </c>
      <c r="H20" s="30">
        <f t="shared" si="1"/>
        <v>23</v>
      </c>
      <c r="I20" s="30">
        <f t="shared" si="1"/>
        <v>14</v>
      </c>
      <c r="J20" s="30">
        <f t="shared" si="1"/>
        <v>14</v>
      </c>
      <c r="K20" s="30">
        <f t="shared" si="1"/>
        <v>19</v>
      </c>
      <c r="L20" s="30">
        <f t="shared" si="1"/>
        <v>0</v>
      </c>
      <c r="M20" s="30">
        <f t="shared" si="1"/>
        <v>0</v>
      </c>
      <c r="N20" s="30">
        <f t="shared" si="1"/>
        <v>0</v>
      </c>
      <c r="O20" s="30">
        <f t="shared" si="1"/>
        <v>0</v>
      </c>
      <c r="P20" s="30">
        <f t="shared" si="1"/>
        <v>0</v>
      </c>
      <c r="Q20" s="31">
        <f>ELEKTRO!Q51</f>
        <v>46204</v>
      </c>
      <c r="R20" s="11"/>
      <c r="S20" s="11"/>
      <c r="T20" s="11"/>
      <c r="U20" s="11"/>
      <c r="V20" s="11"/>
      <c r="W20" s="11"/>
      <c r="X20" s="11"/>
      <c r="Y20" s="11"/>
      <c r="Z20" s="11"/>
    </row>
    <row r="21" ht="13.5" customHeight="1">
      <c r="A21" s="16" t="str">
        <f t="shared" si="2"/>
        <v>W_B1</v>
      </c>
      <c r="B21" s="16" t="str">
        <f t="shared" si="3"/>
        <v>výpočet</v>
      </c>
      <c r="C21" s="24"/>
      <c r="D21" s="30">
        <v>1.0</v>
      </c>
      <c r="E21" s="30">
        <f t="shared" ref="E21:P21" si="4">$D21*IF(F3=0,0,(F3-E3))</f>
        <v>1</v>
      </c>
      <c r="F21" s="30">
        <f t="shared" si="4"/>
        <v>0</v>
      </c>
      <c r="G21" s="30">
        <f t="shared" si="4"/>
        <v>2</v>
      </c>
      <c r="H21" s="30">
        <f t="shared" si="4"/>
        <v>1</v>
      </c>
      <c r="I21" s="30">
        <f t="shared" si="4"/>
        <v>0</v>
      </c>
      <c r="J21" s="30">
        <f t="shared" si="4"/>
        <v>1</v>
      </c>
      <c r="K21" s="30">
        <f t="shared" si="4"/>
        <v>1</v>
      </c>
      <c r="L21" s="30">
        <f t="shared" si="4"/>
        <v>0</v>
      </c>
      <c r="M21" s="30">
        <f t="shared" si="4"/>
        <v>0</v>
      </c>
      <c r="N21" s="30">
        <f t="shared" si="4"/>
        <v>0</v>
      </c>
      <c r="O21" s="30">
        <f t="shared" si="4"/>
        <v>0</v>
      </c>
      <c r="P21" s="30">
        <f t="shared" si="4"/>
        <v>0</v>
      </c>
      <c r="Q21" s="31">
        <f t="shared" ref="Q21:Q35" si="6">$Q$20</f>
        <v>46204</v>
      </c>
      <c r="R21" s="11"/>
      <c r="S21" s="11"/>
      <c r="T21" s="11"/>
      <c r="U21" s="11"/>
      <c r="V21" s="11"/>
      <c r="W21" s="11"/>
      <c r="X21" s="11"/>
      <c r="Y21" s="11"/>
      <c r="Z21" s="11"/>
    </row>
    <row r="22" ht="13.5" customHeight="1">
      <c r="A22" s="16" t="str">
        <f t="shared" si="2"/>
        <v>W_B2</v>
      </c>
      <c r="B22" s="16" t="str">
        <f t="shared" si="3"/>
        <v>Artalo design s. r. o.</v>
      </c>
      <c r="C22" s="24"/>
      <c r="D22" s="30">
        <v>1.0</v>
      </c>
      <c r="E22" s="30">
        <f t="shared" ref="E22:P22" si="5">$D22*IF(F4=0,0,(F4-E4))</f>
        <v>0</v>
      </c>
      <c r="F22" s="30">
        <f t="shared" si="5"/>
        <v>0</v>
      </c>
      <c r="G22" s="30">
        <f t="shared" si="5"/>
        <v>0</v>
      </c>
      <c r="H22" s="30">
        <f t="shared" si="5"/>
        <v>0</v>
      </c>
      <c r="I22" s="30">
        <f t="shared" si="5"/>
        <v>0</v>
      </c>
      <c r="J22" s="30">
        <f t="shared" si="5"/>
        <v>0</v>
      </c>
      <c r="K22" s="30">
        <f t="shared" si="5"/>
        <v>0</v>
      </c>
      <c r="L22" s="30">
        <f t="shared" si="5"/>
        <v>0</v>
      </c>
      <c r="M22" s="30">
        <f t="shared" si="5"/>
        <v>0</v>
      </c>
      <c r="N22" s="30">
        <f t="shared" si="5"/>
        <v>0</v>
      </c>
      <c r="O22" s="30">
        <f t="shared" si="5"/>
        <v>0</v>
      </c>
      <c r="P22" s="30">
        <f t="shared" si="5"/>
        <v>0</v>
      </c>
      <c r="Q22" s="31">
        <f t="shared" si="6"/>
        <v>46204</v>
      </c>
      <c r="R22" s="11"/>
      <c r="S22" s="11"/>
      <c r="T22" s="11"/>
      <c r="U22" s="11"/>
      <c r="V22" s="11"/>
      <c r="W22" s="11"/>
      <c r="X22" s="11"/>
      <c r="Y22" s="11"/>
      <c r="Z22" s="11"/>
    </row>
    <row r="23" ht="13.5" customHeight="1">
      <c r="A23" s="16" t="str">
        <f t="shared" si="2"/>
        <v>W_B3</v>
      </c>
      <c r="B23" s="16" t="str">
        <f t="shared" si="3"/>
        <v>Fitclub Cross Body MT s. r. o.</v>
      </c>
      <c r="C23" s="24"/>
      <c r="D23" s="30">
        <v>1.0</v>
      </c>
      <c r="E23" s="30">
        <f t="shared" ref="E23:P23" si="7">$D23*IF(F5=0,0,(F5-E5))</f>
        <v>4</v>
      </c>
      <c r="F23" s="30">
        <f t="shared" si="7"/>
        <v>4</v>
      </c>
      <c r="G23" s="30">
        <f t="shared" si="7"/>
        <v>5</v>
      </c>
      <c r="H23" s="30">
        <f t="shared" si="7"/>
        <v>4</v>
      </c>
      <c r="I23" s="30">
        <f t="shared" si="7"/>
        <v>6</v>
      </c>
      <c r="J23" s="30">
        <f t="shared" si="7"/>
        <v>5</v>
      </c>
      <c r="K23" s="30">
        <f t="shared" si="7"/>
        <v>6</v>
      </c>
      <c r="L23" s="30">
        <f t="shared" si="7"/>
        <v>0</v>
      </c>
      <c r="M23" s="30">
        <f t="shared" si="7"/>
        <v>0</v>
      </c>
      <c r="N23" s="30">
        <f t="shared" si="7"/>
        <v>0</v>
      </c>
      <c r="O23" s="30">
        <f t="shared" si="7"/>
        <v>0</v>
      </c>
      <c r="P23" s="30">
        <f t="shared" si="7"/>
        <v>0</v>
      </c>
      <c r="Q23" s="31">
        <f t="shared" si="6"/>
        <v>46204</v>
      </c>
      <c r="R23" s="11"/>
      <c r="S23" s="11"/>
      <c r="T23" s="11"/>
      <c r="U23" s="11"/>
      <c r="V23" s="11"/>
      <c r="W23" s="11"/>
      <c r="X23" s="11"/>
      <c r="Y23" s="11"/>
      <c r="Z23" s="11"/>
    </row>
    <row r="24" ht="13.5" customHeight="1">
      <c r="A24" s="16" t="str">
        <f t="shared" si="2"/>
        <v>W_D1</v>
      </c>
      <c r="B24" s="16" t="str">
        <f t="shared" si="3"/>
        <v>výpočet</v>
      </c>
      <c r="C24" s="17" t="s">
        <v>156</v>
      </c>
      <c r="D24" s="30">
        <v>1.0</v>
      </c>
      <c r="E24" s="30">
        <f t="shared" ref="E24:P24" si="8">$D24*IF(F6=0,0,(F6-E6))</f>
        <v>1</v>
      </c>
      <c r="F24" s="30">
        <f t="shared" si="8"/>
        <v>3</v>
      </c>
      <c r="G24" s="30">
        <f t="shared" si="8"/>
        <v>2</v>
      </c>
      <c r="H24" s="30">
        <f t="shared" si="8"/>
        <v>3</v>
      </c>
      <c r="I24" s="30">
        <f t="shared" si="8"/>
        <v>3</v>
      </c>
      <c r="J24" s="30">
        <f t="shared" si="8"/>
        <v>1</v>
      </c>
      <c r="K24" s="30">
        <f t="shared" si="8"/>
        <v>1</v>
      </c>
      <c r="L24" s="30">
        <f t="shared" si="8"/>
        <v>0</v>
      </c>
      <c r="M24" s="30">
        <f t="shared" si="8"/>
        <v>0</v>
      </c>
      <c r="N24" s="30">
        <f t="shared" si="8"/>
        <v>0</v>
      </c>
      <c r="O24" s="30">
        <f t="shared" si="8"/>
        <v>0</v>
      </c>
      <c r="P24" s="30">
        <f t="shared" si="8"/>
        <v>0</v>
      </c>
      <c r="Q24" s="31">
        <f t="shared" si="6"/>
        <v>46204</v>
      </c>
      <c r="R24" s="11"/>
      <c r="S24" s="11"/>
      <c r="T24" s="11"/>
      <c r="U24" s="11"/>
      <c r="V24" s="11"/>
      <c r="W24" s="11"/>
      <c r="X24" s="11"/>
      <c r="Y24" s="11"/>
      <c r="Z24" s="11"/>
    </row>
    <row r="25" ht="13.5" customHeight="1">
      <c r="A25" s="16" t="str">
        <f t="shared" si="2"/>
        <v>W_E1</v>
      </c>
      <c r="B25" s="16" t="str">
        <f t="shared" si="3"/>
        <v>PTÁČEK-velkoobchod, a.s</v>
      </c>
      <c r="C25" s="24"/>
      <c r="D25" s="30">
        <v>1.0</v>
      </c>
      <c r="E25" s="30">
        <f t="shared" ref="E25:P25" si="9">$D25*IF(F7=0,0,(F7-E7))</f>
        <v>8</v>
      </c>
      <c r="F25" s="30">
        <f t="shared" si="9"/>
        <v>7</v>
      </c>
      <c r="G25" s="30">
        <f t="shared" si="9"/>
        <v>7</v>
      </c>
      <c r="H25" s="30">
        <f t="shared" si="9"/>
        <v>6</v>
      </c>
      <c r="I25" s="30">
        <f t="shared" si="9"/>
        <v>8</v>
      </c>
      <c r="J25" s="30">
        <f t="shared" si="9"/>
        <v>8</v>
      </c>
      <c r="K25" s="30">
        <f t="shared" si="9"/>
        <v>7</v>
      </c>
      <c r="L25" s="30">
        <f t="shared" si="9"/>
        <v>0</v>
      </c>
      <c r="M25" s="30">
        <f t="shared" si="9"/>
        <v>0</v>
      </c>
      <c r="N25" s="30">
        <f t="shared" si="9"/>
        <v>0</v>
      </c>
      <c r="O25" s="30">
        <f t="shared" si="9"/>
        <v>0</v>
      </c>
      <c r="P25" s="30">
        <f t="shared" si="9"/>
        <v>0</v>
      </c>
      <c r="Q25" s="31">
        <f t="shared" si="6"/>
        <v>46204</v>
      </c>
      <c r="R25" s="11"/>
      <c r="S25" s="11"/>
      <c r="T25" s="11"/>
      <c r="U25" s="11"/>
      <c r="V25" s="11"/>
      <c r="W25" s="11"/>
      <c r="X25" s="11"/>
      <c r="Y25" s="11"/>
      <c r="Z25" s="11"/>
    </row>
    <row r="26" ht="13.5" customHeight="1">
      <c r="A26" s="16" t="str">
        <f t="shared" si="2"/>
        <v>W_F2</v>
      </c>
      <c r="B26" s="16" t="str">
        <f t="shared" si="3"/>
        <v>PELUS automation machines s.r.o.</v>
      </c>
      <c r="C26" s="24"/>
      <c r="D26" s="30">
        <v>1.0</v>
      </c>
      <c r="E26" s="30">
        <f t="shared" ref="E26:P26" si="10">$D26*IF(F8=0,0,(F8-E8))</f>
        <v>0</v>
      </c>
      <c r="F26" s="30">
        <f t="shared" si="10"/>
        <v>0</v>
      </c>
      <c r="G26" s="30">
        <f t="shared" si="10"/>
        <v>0</v>
      </c>
      <c r="H26" s="30">
        <f t="shared" si="10"/>
        <v>0</v>
      </c>
      <c r="I26" s="30">
        <f t="shared" si="10"/>
        <v>0</v>
      </c>
      <c r="J26" s="30">
        <f t="shared" si="10"/>
        <v>1</v>
      </c>
      <c r="K26" s="30">
        <f t="shared" si="10"/>
        <v>0</v>
      </c>
      <c r="L26" s="30">
        <f t="shared" si="10"/>
        <v>0</v>
      </c>
      <c r="M26" s="30">
        <f t="shared" si="10"/>
        <v>0</v>
      </c>
      <c r="N26" s="30">
        <f t="shared" si="10"/>
        <v>0</v>
      </c>
      <c r="O26" s="30">
        <f t="shared" si="10"/>
        <v>0</v>
      </c>
      <c r="P26" s="30">
        <f t="shared" si="10"/>
        <v>0</v>
      </c>
      <c r="Q26" s="31">
        <f t="shared" si="6"/>
        <v>46204</v>
      </c>
      <c r="R26" s="11"/>
      <c r="S26" s="11"/>
      <c r="T26" s="11"/>
      <c r="U26" s="11"/>
      <c r="V26" s="11"/>
      <c r="W26" s="11"/>
      <c r="X26" s="11"/>
      <c r="Y26" s="11"/>
      <c r="Z26" s="11"/>
    </row>
    <row r="27" ht="13.5" customHeight="1">
      <c r="A27" s="16" t="str">
        <f t="shared" si="2"/>
        <v>W_H1</v>
      </c>
      <c r="B27" s="16" t="str">
        <f t="shared" si="3"/>
        <v>LogicVision s. r. o.</v>
      </c>
      <c r="C27" s="17" t="s">
        <v>163</v>
      </c>
      <c r="D27" s="30">
        <v>1.0</v>
      </c>
      <c r="E27" s="30">
        <f t="shared" ref="E27:P27" si="11">$D27*IF(F9=0,0,(F9-E9))-E28-E29</f>
        <v>29</v>
      </c>
      <c r="F27" s="30">
        <f t="shared" si="11"/>
        <v>26</v>
      </c>
      <c r="G27" s="30">
        <f t="shared" si="11"/>
        <v>29</v>
      </c>
      <c r="H27" s="30">
        <f t="shared" si="11"/>
        <v>24</v>
      </c>
      <c r="I27" s="30">
        <f t="shared" si="11"/>
        <v>28</v>
      </c>
      <c r="J27" s="30">
        <f t="shared" si="11"/>
        <v>30</v>
      </c>
      <c r="K27" s="30">
        <f t="shared" si="11"/>
        <v>25</v>
      </c>
      <c r="L27" s="30">
        <f t="shared" si="11"/>
        <v>0</v>
      </c>
      <c r="M27" s="30">
        <f t="shared" si="11"/>
        <v>0</v>
      </c>
      <c r="N27" s="30">
        <f t="shared" si="11"/>
        <v>0</v>
      </c>
      <c r="O27" s="30">
        <f t="shared" si="11"/>
        <v>0</v>
      </c>
      <c r="P27" s="30">
        <f t="shared" si="11"/>
        <v>0</v>
      </c>
      <c r="Q27" s="31">
        <f t="shared" si="6"/>
        <v>46204</v>
      </c>
      <c r="R27" s="11"/>
      <c r="S27" s="11"/>
      <c r="T27" s="11"/>
      <c r="U27" s="11"/>
      <c r="V27" s="11"/>
      <c r="W27" s="11"/>
      <c r="X27" s="11"/>
      <c r="Y27" s="11"/>
      <c r="Z27" s="11"/>
    </row>
    <row r="28" ht="13.5" customHeight="1">
      <c r="A28" s="16" t="str">
        <f t="shared" si="2"/>
        <v>W_H2</v>
      </c>
      <c r="B28" s="16" t="str">
        <f t="shared" si="3"/>
        <v>CSE</v>
      </c>
      <c r="C28" s="24"/>
      <c r="D28" s="30">
        <v>1.0</v>
      </c>
      <c r="E28" s="30">
        <f t="shared" ref="E28:P28" si="12">$D28*IF(F10=0,0,(F10-E10))</f>
        <v>0</v>
      </c>
      <c r="F28" s="30">
        <f t="shared" si="12"/>
        <v>0</v>
      </c>
      <c r="G28" s="30">
        <f t="shared" si="12"/>
        <v>0</v>
      </c>
      <c r="H28" s="30">
        <f t="shared" si="12"/>
        <v>0</v>
      </c>
      <c r="I28" s="30">
        <f t="shared" si="12"/>
        <v>0</v>
      </c>
      <c r="J28" s="30">
        <f t="shared" si="12"/>
        <v>0</v>
      </c>
      <c r="K28" s="30">
        <f t="shared" si="12"/>
        <v>0</v>
      </c>
      <c r="L28" s="30">
        <f t="shared" si="12"/>
        <v>0</v>
      </c>
      <c r="M28" s="30">
        <f t="shared" si="12"/>
        <v>0</v>
      </c>
      <c r="N28" s="30">
        <f t="shared" si="12"/>
        <v>0</v>
      </c>
      <c r="O28" s="30">
        <f t="shared" si="12"/>
        <v>0</v>
      </c>
      <c r="P28" s="30">
        <f t="shared" si="12"/>
        <v>0</v>
      </c>
      <c r="Q28" s="31">
        <f t="shared" si="6"/>
        <v>46204</v>
      </c>
      <c r="R28" s="11"/>
      <c r="S28" s="11"/>
      <c r="T28" s="11"/>
      <c r="U28" s="11"/>
      <c r="V28" s="11"/>
      <c r="W28" s="11"/>
      <c r="X28" s="11"/>
      <c r="Y28" s="11"/>
      <c r="Z28" s="11"/>
    </row>
    <row r="29" ht="13.5" customHeight="1">
      <c r="A29" s="16" t="str">
        <f t="shared" si="2"/>
        <v>W_N1</v>
      </c>
      <c r="B29" s="16" t="str">
        <f t="shared" si="3"/>
        <v>výpočet</v>
      </c>
      <c r="C29" s="24"/>
      <c r="D29" s="30">
        <v>1.0</v>
      </c>
      <c r="E29" s="30">
        <f t="shared" ref="E29:P29" si="13">$D29*IF(F11=0,0,(F11-E11))</f>
        <v>3</v>
      </c>
      <c r="F29" s="30">
        <f t="shared" si="13"/>
        <v>3</v>
      </c>
      <c r="G29" s="30">
        <f t="shared" si="13"/>
        <v>4</v>
      </c>
      <c r="H29" s="30">
        <f t="shared" si="13"/>
        <v>3</v>
      </c>
      <c r="I29" s="30">
        <f t="shared" si="13"/>
        <v>3</v>
      </c>
      <c r="J29" s="30">
        <f t="shared" si="13"/>
        <v>3</v>
      </c>
      <c r="K29" s="30">
        <f t="shared" si="13"/>
        <v>3</v>
      </c>
      <c r="L29" s="30">
        <f t="shared" si="13"/>
        <v>0</v>
      </c>
      <c r="M29" s="30">
        <f t="shared" si="13"/>
        <v>0</v>
      </c>
      <c r="N29" s="30">
        <f t="shared" si="13"/>
        <v>0</v>
      </c>
      <c r="O29" s="30">
        <f t="shared" si="13"/>
        <v>0</v>
      </c>
      <c r="P29" s="30">
        <f t="shared" si="13"/>
        <v>0</v>
      </c>
      <c r="Q29" s="31">
        <f t="shared" si="6"/>
        <v>46204</v>
      </c>
      <c r="R29" s="11"/>
      <c r="S29" s="11"/>
      <c r="T29" s="11"/>
      <c r="U29" s="11"/>
      <c r="V29" s="11"/>
      <c r="W29" s="11"/>
      <c r="X29" s="11"/>
      <c r="Y29" s="11"/>
      <c r="Z29" s="11"/>
    </row>
    <row r="30" ht="13.5" customHeight="1">
      <c r="A30" s="16" t="str">
        <f t="shared" si="2"/>
        <v>W_O1</v>
      </c>
      <c r="B30" s="16" t="str">
        <f t="shared" si="3"/>
        <v>PTÁČEK-velkoobchod, a.s</v>
      </c>
      <c r="C30" s="24"/>
      <c r="D30" s="30">
        <v>1.0</v>
      </c>
      <c r="E30" s="30">
        <f t="shared" ref="E30:P30" si="14">$D30*IF(F12=0,0,(F12-E12))</f>
        <v>9</v>
      </c>
      <c r="F30" s="30">
        <f t="shared" si="14"/>
        <v>9</v>
      </c>
      <c r="G30" s="30">
        <f t="shared" si="14"/>
        <v>8</v>
      </c>
      <c r="H30" s="30">
        <f t="shared" si="14"/>
        <v>8</v>
      </c>
      <c r="I30" s="30">
        <f t="shared" si="14"/>
        <v>8</v>
      </c>
      <c r="J30" s="30">
        <f t="shared" si="14"/>
        <v>8</v>
      </c>
      <c r="K30" s="30">
        <f t="shared" si="14"/>
        <v>7</v>
      </c>
      <c r="L30" s="30">
        <f t="shared" si="14"/>
        <v>0</v>
      </c>
      <c r="M30" s="30">
        <f t="shared" si="14"/>
        <v>0</v>
      </c>
      <c r="N30" s="30">
        <f t="shared" si="14"/>
        <v>0</v>
      </c>
      <c r="O30" s="30">
        <f t="shared" si="14"/>
        <v>0</v>
      </c>
      <c r="P30" s="30">
        <f t="shared" si="14"/>
        <v>0</v>
      </c>
      <c r="Q30" s="31">
        <f t="shared" si="6"/>
        <v>46204</v>
      </c>
      <c r="R30" s="11"/>
      <c r="S30" s="11"/>
      <c r="T30" s="11"/>
      <c r="U30" s="11"/>
      <c r="V30" s="11"/>
      <c r="W30" s="11"/>
      <c r="X30" s="11"/>
      <c r="Y30" s="11"/>
      <c r="Z30" s="11"/>
    </row>
    <row r="31" ht="13.5" customHeight="1">
      <c r="A31" s="16" t="str">
        <f t="shared" si="2"/>
        <v>W_O3</v>
      </c>
      <c r="B31" s="16" t="str">
        <f t="shared" si="3"/>
        <v>Studio Proměna</v>
      </c>
      <c r="C31" s="24"/>
      <c r="D31" s="30">
        <v>1.0</v>
      </c>
      <c r="E31" s="30">
        <f t="shared" ref="E31:P31" si="15">$D31*IF(F13=0,0,(F13-E13))</f>
        <v>9</v>
      </c>
      <c r="F31" s="30">
        <f t="shared" si="15"/>
        <v>7</v>
      </c>
      <c r="G31" s="30">
        <f t="shared" si="15"/>
        <v>10</v>
      </c>
      <c r="H31" s="30">
        <f t="shared" si="15"/>
        <v>8</v>
      </c>
      <c r="I31" s="30">
        <f t="shared" si="15"/>
        <v>9</v>
      </c>
      <c r="J31" s="30">
        <f t="shared" si="15"/>
        <v>0</v>
      </c>
      <c r="K31" s="30">
        <f t="shared" si="15"/>
        <v>11</v>
      </c>
      <c r="L31" s="30">
        <f t="shared" si="15"/>
        <v>0</v>
      </c>
      <c r="M31" s="30">
        <f t="shared" si="15"/>
        <v>0</v>
      </c>
      <c r="N31" s="30">
        <f t="shared" si="15"/>
        <v>0</v>
      </c>
      <c r="O31" s="30">
        <f t="shared" si="15"/>
        <v>0</v>
      </c>
      <c r="P31" s="30">
        <f t="shared" si="15"/>
        <v>0</v>
      </c>
      <c r="Q31" s="31">
        <f t="shared" si="6"/>
        <v>46204</v>
      </c>
      <c r="R31" s="11"/>
      <c r="S31" s="11"/>
      <c r="T31" s="11"/>
      <c r="U31" s="11"/>
      <c r="V31" s="11"/>
      <c r="W31" s="11"/>
      <c r="X31" s="11"/>
      <c r="Y31" s="11"/>
      <c r="Z31" s="11"/>
    </row>
    <row r="32" ht="13.5" customHeight="1">
      <c r="A32" s="16" t="str">
        <f t="shared" si="2"/>
        <v>W_O4</v>
      </c>
      <c r="B32" s="16" t="str">
        <f t="shared" si="3"/>
        <v>nepřiřazeno</v>
      </c>
      <c r="C32" s="24"/>
      <c r="D32" s="30">
        <v>1.0</v>
      </c>
      <c r="E32" s="30">
        <f t="shared" ref="E32:P32" si="16">$D32*IF(F14=0,0,(F14-E14))</f>
        <v>0</v>
      </c>
      <c r="F32" s="30">
        <f t="shared" si="16"/>
        <v>0</v>
      </c>
      <c r="G32" s="30">
        <f t="shared" si="16"/>
        <v>0</v>
      </c>
      <c r="H32" s="30">
        <f t="shared" si="16"/>
        <v>0</v>
      </c>
      <c r="I32" s="30">
        <f t="shared" si="16"/>
        <v>0</v>
      </c>
      <c r="J32" s="30">
        <f t="shared" si="16"/>
        <v>0</v>
      </c>
      <c r="K32" s="30">
        <f t="shared" si="16"/>
        <v>0</v>
      </c>
      <c r="L32" s="30">
        <f t="shared" si="16"/>
        <v>0</v>
      </c>
      <c r="M32" s="30">
        <f t="shared" si="16"/>
        <v>0</v>
      </c>
      <c r="N32" s="30">
        <f t="shared" si="16"/>
        <v>0</v>
      </c>
      <c r="O32" s="30">
        <f t="shared" si="16"/>
        <v>0</v>
      </c>
      <c r="P32" s="30">
        <f t="shared" si="16"/>
        <v>0</v>
      </c>
      <c r="Q32" s="31">
        <f t="shared" si="6"/>
        <v>46204</v>
      </c>
      <c r="R32" s="11"/>
      <c r="S32" s="11"/>
      <c r="T32" s="11"/>
      <c r="U32" s="11"/>
      <c r="V32" s="11"/>
      <c r="W32" s="11"/>
      <c r="X32" s="11"/>
      <c r="Y32" s="11"/>
      <c r="Z32" s="11"/>
    </row>
    <row r="33" ht="13.5" customHeight="1">
      <c r="A33" s="16" t="str">
        <f t="shared" si="2"/>
        <v>W_T1</v>
      </c>
      <c r="B33" s="16" t="str">
        <f t="shared" si="3"/>
        <v>TENAUR, s. r. o.</v>
      </c>
      <c r="C33" s="24"/>
      <c r="D33" s="30">
        <v>1.0</v>
      </c>
      <c r="E33" s="30">
        <f t="shared" ref="E33:P33" si="17">$D33*IF(F15=0,0,(F15-E15))</f>
        <v>0</v>
      </c>
      <c r="F33" s="30">
        <f t="shared" si="17"/>
        <v>0</v>
      </c>
      <c r="G33" s="30">
        <f t="shared" si="17"/>
        <v>0</v>
      </c>
      <c r="H33" s="30">
        <f t="shared" si="17"/>
        <v>0</v>
      </c>
      <c r="I33" s="30">
        <f t="shared" si="17"/>
        <v>0</v>
      </c>
      <c r="J33" s="30">
        <f t="shared" si="17"/>
        <v>0</v>
      </c>
      <c r="K33" s="30">
        <f t="shared" si="17"/>
        <v>0</v>
      </c>
      <c r="L33" s="30">
        <f t="shared" si="17"/>
        <v>0</v>
      </c>
      <c r="M33" s="30">
        <f t="shared" si="17"/>
        <v>0</v>
      </c>
      <c r="N33" s="30">
        <f t="shared" si="17"/>
        <v>0</v>
      </c>
      <c r="O33" s="30">
        <f t="shared" si="17"/>
        <v>0</v>
      </c>
      <c r="P33" s="30">
        <f t="shared" si="17"/>
        <v>0</v>
      </c>
      <c r="Q33" s="31">
        <f t="shared" si="6"/>
        <v>46204</v>
      </c>
      <c r="R33" s="11"/>
      <c r="S33" s="11"/>
      <c r="T33" s="11"/>
      <c r="U33" s="11"/>
      <c r="V33" s="11"/>
      <c r="W33" s="11"/>
      <c r="X33" s="11"/>
      <c r="Y33" s="11"/>
      <c r="Z33" s="11"/>
    </row>
    <row r="34" ht="13.5" customHeight="1">
      <c r="A34" s="16" t="str">
        <f t="shared" si="2"/>
        <v>W_TUV</v>
      </c>
      <c r="B34" s="16" t="str">
        <f t="shared" si="3"/>
        <v>výpočet</v>
      </c>
      <c r="C34" s="24"/>
      <c r="D34" s="30">
        <v>1.0</v>
      </c>
      <c r="E34" s="30">
        <f t="shared" ref="E34:P34" si="18">$D34*IF(F16=0,0,(F16-E16))</f>
        <v>9</v>
      </c>
      <c r="F34" s="30">
        <f t="shared" si="18"/>
        <v>10</v>
      </c>
      <c r="G34" s="30">
        <f t="shared" si="18"/>
        <v>11</v>
      </c>
      <c r="H34" s="30">
        <f t="shared" si="18"/>
        <v>9</v>
      </c>
      <c r="I34" s="30">
        <f t="shared" si="18"/>
        <v>9</v>
      </c>
      <c r="J34" s="30">
        <f t="shared" si="18"/>
        <v>8</v>
      </c>
      <c r="K34" s="30">
        <f t="shared" si="18"/>
        <v>6</v>
      </c>
      <c r="L34" s="30">
        <f t="shared" si="18"/>
        <v>0</v>
      </c>
      <c r="M34" s="30">
        <f t="shared" si="18"/>
        <v>0</v>
      </c>
      <c r="N34" s="30">
        <f t="shared" si="18"/>
        <v>0</v>
      </c>
      <c r="O34" s="30">
        <f t="shared" si="18"/>
        <v>0</v>
      </c>
      <c r="P34" s="30">
        <f t="shared" si="18"/>
        <v>0</v>
      </c>
      <c r="Q34" s="31">
        <f t="shared" si="6"/>
        <v>46204</v>
      </c>
      <c r="R34" s="11"/>
      <c r="S34" s="11"/>
      <c r="T34" s="11"/>
      <c r="U34" s="11"/>
      <c r="V34" s="11"/>
      <c r="W34" s="11"/>
      <c r="X34" s="11"/>
      <c r="Y34" s="11"/>
      <c r="Z34" s="11"/>
    </row>
    <row r="35" ht="13.5" customHeight="1">
      <c r="A35" s="16" t="str">
        <f t="shared" si="2"/>
        <v>W_CELKEM</v>
      </c>
      <c r="B35" s="16" t="str">
        <f t="shared" si="3"/>
        <v>CSE</v>
      </c>
      <c r="C35" s="17" t="str">
        <f>C17</f>
        <v>celková spotřeba</v>
      </c>
      <c r="D35" s="30">
        <v>1.0</v>
      </c>
      <c r="E35" s="30">
        <f t="shared" ref="E35:P35" si="19">$D35*IF(F17=0,0,(F17-E17))</f>
        <v>86</v>
      </c>
      <c r="F35" s="30">
        <f t="shared" si="19"/>
        <v>131</v>
      </c>
      <c r="G35" s="30">
        <f t="shared" si="19"/>
        <v>99</v>
      </c>
      <c r="H35" s="30">
        <f t="shared" si="19"/>
        <v>83</v>
      </c>
      <c r="I35" s="30">
        <f t="shared" si="19"/>
        <v>86</v>
      </c>
      <c r="J35" s="30">
        <f t="shared" si="19"/>
        <v>85</v>
      </c>
      <c r="K35" s="30">
        <f t="shared" si="19"/>
        <v>76</v>
      </c>
      <c r="L35" s="30">
        <f t="shared" si="19"/>
        <v>0</v>
      </c>
      <c r="M35" s="30">
        <f t="shared" si="19"/>
        <v>0</v>
      </c>
      <c r="N35" s="30">
        <f t="shared" si="19"/>
        <v>0</v>
      </c>
      <c r="O35" s="30">
        <f t="shared" si="19"/>
        <v>0</v>
      </c>
      <c r="P35" s="30">
        <f t="shared" si="19"/>
        <v>0</v>
      </c>
      <c r="Q35" s="31">
        <f t="shared" si="6"/>
        <v>46204</v>
      </c>
      <c r="R35" s="11"/>
      <c r="S35" s="11"/>
      <c r="T35" s="11"/>
      <c r="U35" s="11"/>
      <c r="V35" s="11"/>
      <c r="W35" s="11"/>
      <c r="X35" s="11"/>
      <c r="Y35" s="11"/>
      <c r="Z35" s="11"/>
    </row>
    <row r="36" ht="13.5" customHeight="1">
      <c r="A36" s="32"/>
      <c r="B36" s="32"/>
      <c r="C36" s="33"/>
      <c r="D36" s="33"/>
      <c r="E36" s="3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1"/>
      <c r="S36" s="11"/>
      <c r="T36" s="11"/>
      <c r="U36" s="11"/>
      <c r="V36" s="11"/>
      <c r="W36" s="11"/>
      <c r="X36" s="11"/>
      <c r="Y36" s="11"/>
      <c r="Z36" s="11"/>
    </row>
    <row r="37" ht="13.5" customHeight="1">
      <c r="A37" s="35" t="s">
        <v>185</v>
      </c>
      <c r="B37" s="36"/>
      <c r="C37" s="33"/>
      <c r="D37" s="33"/>
      <c r="E37" s="37">
        <f t="shared" ref="E37:G37" si="20">SUM(E20:E34)-E28</f>
        <v>85</v>
      </c>
      <c r="F37" s="37">
        <f t="shared" si="20"/>
        <v>131</v>
      </c>
      <c r="G37" s="37">
        <f t="shared" si="20"/>
        <v>94</v>
      </c>
      <c r="H37" s="37">
        <f t="shared" ref="H37:K37" si="21">SUM(H20:H34)</f>
        <v>89</v>
      </c>
      <c r="I37" s="37">
        <f t="shared" si="21"/>
        <v>88</v>
      </c>
      <c r="J37" s="37">
        <f t="shared" si="21"/>
        <v>79</v>
      </c>
      <c r="K37" s="37">
        <f t="shared" si="21"/>
        <v>86</v>
      </c>
      <c r="L37" s="37">
        <f t="shared" ref="L37:P37" si="22">SUM(L20:L34)-L28</f>
        <v>0</v>
      </c>
      <c r="M37" s="37">
        <f t="shared" si="22"/>
        <v>0</v>
      </c>
      <c r="N37" s="37">
        <f t="shared" si="22"/>
        <v>0</v>
      </c>
      <c r="O37" s="37">
        <f t="shared" si="22"/>
        <v>0</v>
      </c>
      <c r="P37" s="37">
        <f t="shared" si="22"/>
        <v>0</v>
      </c>
      <c r="Q37" s="37"/>
      <c r="R37" s="11"/>
      <c r="S37" s="11"/>
      <c r="T37" s="11"/>
      <c r="U37" s="11"/>
      <c r="V37" s="11"/>
      <c r="W37" s="11"/>
      <c r="X37" s="11"/>
      <c r="Y37" s="11"/>
      <c r="Z37" s="11"/>
    </row>
    <row r="38" ht="13.5" customHeight="1">
      <c r="A38" s="38"/>
      <c r="B38" s="36"/>
      <c r="C38" s="33"/>
      <c r="D38" s="33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11"/>
      <c r="S38" s="11"/>
      <c r="T38" s="11"/>
      <c r="U38" s="11"/>
      <c r="V38" s="11"/>
      <c r="W38" s="11"/>
      <c r="X38" s="11"/>
      <c r="Y38" s="11"/>
      <c r="Z38" s="11"/>
    </row>
    <row r="39" ht="13.5" customHeight="1">
      <c r="A39" s="35" t="s">
        <v>188</v>
      </c>
      <c r="B39" s="36"/>
      <c r="C39" s="33"/>
      <c r="D39" s="33"/>
      <c r="E39" s="37">
        <f t="shared" ref="E39:P39" si="23">E37</f>
        <v>85</v>
      </c>
      <c r="F39" s="37">
        <f t="shared" si="23"/>
        <v>131</v>
      </c>
      <c r="G39" s="37">
        <f t="shared" si="23"/>
        <v>94</v>
      </c>
      <c r="H39" s="37">
        <f t="shared" si="23"/>
        <v>89</v>
      </c>
      <c r="I39" s="37">
        <f t="shared" si="23"/>
        <v>88</v>
      </c>
      <c r="J39" s="37">
        <f t="shared" si="23"/>
        <v>79</v>
      </c>
      <c r="K39" s="37">
        <f t="shared" si="23"/>
        <v>86</v>
      </c>
      <c r="L39" s="37">
        <f t="shared" si="23"/>
        <v>0</v>
      </c>
      <c r="M39" s="37">
        <f t="shared" si="23"/>
        <v>0</v>
      </c>
      <c r="N39" s="37">
        <f t="shared" si="23"/>
        <v>0</v>
      </c>
      <c r="O39" s="37">
        <f t="shared" si="23"/>
        <v>0</v>
      </c>
      <c r="P39" s="37">
        <f t="shared" si="23"/>
        <v>0</v>
      </c>
      <c r="Q39" s="37"/>
      <c r="R39" s="11"/>
      <c r="S39" s="11"/>
      <c r="T39" s="11"/>
      <c r="U39" s="11"/>
      <c r="V39" s="11"/>
      <c r="W39" s="11"/>
      <c r="X39" s="11"/>
      <c r="Y39" s="11"/>
      <c r="Z39" s="11"/>
    </row>
    <row r="40" ht="13.5" customHeight="1">
      <c r="A40" s="35" t="s">
        <v>189</v>
      </c>
      <c r="B40" s="36"/>
      <c r="C40" s="33"/>
      <c r="D40" s="33"/>
      <c r="E40" s="39">
        <v>86.0</v>
      </c>
      <c r="F40" s="40">
        <v>0.0</v>
      </c>
      <c r="G40" s="39">
        <v>99.0</v>
      </c>
      <c r="H40" s="39">
        <v>83.0</v>
      </c>
      <c r="I40" s="40">
        <v>0.0</v>
      </c>
      <c r="J40" s="39">
        <v>85.0</v>
      </c>
      <c r="K40" s="40">
        <v>0.0</v>
      </c>
      <c r="L40" s="40">
        <v>0.0</v>
      </c>
      <c r="M40" s="40">
        <v>0.0</v>
      </c>
      <c r="N40" s="40">
        <v>0.0</v>
      </c>
      <c r="O40" s="40">
        <v>0.0</v>
      </c>
      <c r="P40" s="40">
        <v>0.0</v>
      </c>
      <c r="Q40" s="37"/>
      <c r="R40" s="11"/>
      <c r="S40" s="11"/>
      <c r="T40" s="11"/>
      <c r="U40" s="11"/>
      <c r="V40" s="11"/>
      <c r="W40" s="11"/>
      <c r="X40" s="11"/>
      <c r="Y40" s="11"/>
      <c r="Z40" s="11"/>
    </row>
    <row r="41" ht="13.5" customHeight="1">
      <c r="A41" s="35" t="s">
        <v>191</v>
      </c>
      <c r="B41" s="36"/>
      <c r="C41" s="33"/>
      <c r="D41" s="33"/>
      <c r="E41" s="37">
        <f t="shared" ref="E41:P41" si="24">E39-E40</f>
        <v>-1</v>
      </c>
      <c r="F41" s="37">
        <f t="shared" si="24"/>
        <v>131</v>
      </c>
      <c r="G41" s="37">
        <f t="shared" si="24"/>
        <v>-5</v>
      </c>
      <c r="H41" s="37">
        <f t="shared" si="24"/>
        <v>6</v>
      </c>
      <c r="I41" s="37">
        <f t="shared" si="24"/>
        <v>88</v>
      </c>
      <c r="J41" s="37">
        <f t="shared" si="24"/>
        <v>-6</v>
      </c>
      <c r="K41" s="37">
        <f t="shared" si="24"/>
        <v>86</v>
      </c>
      <c r="L41" s="37">
        <f t="shared" si="24"/>
        <v>0</v>
      </c>
      <c r="M41" s="37">
        <f t="shared" si="24"/>
        <v>0</v>
      </c>
      <c r="N41" s="37">
        <f t="shared" si="24"/>
        <v>0</v>
      </c>
      <c r="O41" s="37">
        <f t="shared" si="24"/>
        <v>0</v>
      </c>
      <c r="P41" s="37">
        <f t="shared" si="24"/>
        <v>0</v>
      </c>
      <c r="Q41" s="37"/>
      <c r="R41" s="11"/>
      <c r="S41" s="11"/>
      <c r="T41" s="11"/>
      <c r="U41" s="11"/>
      <c r="V41" s="11"/>
      <c r="W41" s="11"/>
      <c r="X41" s="11"/>
      <c r="Y41" s="11"/>
      <c r="Z41" s="11"/>
    </row>
    <row r="42" ht="13.5" customHeight="1">
      <c r="A42" s="35" t="s">
        <v>192</v>
      </c>
      <c r="B42" s="36"/>
      <c r="C42" s="33"/>
      <c r="D42" s="33"/>
      <c r="E42" s="41">
        <f t="shared" ref="E42:P42" si="25">IF(E39&gt;0,E41/E39,0)</f>
        <v>-0.01176470588</v>
      </c>
      <c r="F42" s="41">
        <f t="shared" si="25"/>
        <v>1</v>
      </c>
      <c r="G42" s="41">
        <f t="shared" si="25"/>
        <v>-0.05319148936</v>
      </c>
      <c r="H42" s="41">
        <f t="shared" si="25"/>
        <v>0.06741573034</v>
      </c>
      <c r="I42" s="41">
        <f t="shared" si="25"/>
        <v>1</v>
      </c>
      <c r="J42" s="41">
        <f t="shared" si="25"/>
        <v>-0.07594936709</v>
      </c>
      <c r="K42" s="41">
        <f t="shared" si="25"/>
        <v>1</v>
      </c>
      <c r="L42" s="41">
        <f t="shared" si="25"/>
        <v>0</v>
      </c>
      <c r="M42" s="41">
        <f t="shared" si="25"/>
        <v>0</v>
      </c>
      <c r="N42" s="41">
        <f t="shared" si="25"/>
        <v>0</v>
      </c>
      <c r="O42" s="41">
        <f t="shared" si="25"/>
        <v>0</v>
      </c>
      <c r="P42" s="41">
        <f t="shared" si="25"/>
        <v>0</v>
      </c>
      <c r="Q42" s="37"/>
      <c r="R42" s="11"/>
      <c r="S42" s="11"/>
      <c r="T42" s="11"/>
      <c r="U42" s="11"/>
      <c r="V42" s="11"/>
      <c r="W42" s="11"/>
      <c r="X42" s="11"/>
      <c r="Y42" s="11"/>
      <c r="Z42" s="11"/>
    </row>
    <row r="43" ht="13.5" customHeight="1">
      <c r="A43" s="35" t="s">
        <v>195</v>
      </c>
      <c r="B43" s="36"/>
      <c r="C43" s="26" t="s">
        <v>196</v>
      </c>
      <c r="D43" s="33"/>
      <c r="E43" s="42">
        <f t="shared" ref="E43:P43" si="26">E40*128.63</f>
        <v>11062.18</v>
      </c>
      <c r="F43" s="42">
        <f t="shared" si="26"/>
        <v>0</v>
      </c>
      <c r="G43" s="42">
        <f t="shared" si="26"/>
        <v>12734.37</v>
      </c>
      <c r="H43" s="42">
        <f t="shared" si="26"/>
        <v>10676.29</v>
      </c>
      <c r="I43" s="42">
        <f t="shared" si="26"/>
        <v>0</v>
      </c>
      <c r="J43" s="42">
        <f t="shared" si="26"/>
        <v>10933.55</v>
      </c>
      <c r="K43" s="42">
        <f t="shared" si="26"/>
        <v>0</v>
      </c>
      <c r="L43" s="42">
        <f t="shared" si="26"/>
        <v>0</v>
      </c>
      <c r="M43" s="42">
        <f t="shared" si="26"/>
        <v>0</v>
      </c>
      <c r="N43" s="42">
        <f t="shared" si="26"/>
        <v>0</v>
      </c>
      <c r="O43" s="42">
        <f t="shared" si="26"/>
        <v>0</v>
      </c>
      <c r="P43" s="42">
        <f t="shared" si="26"/>
        <v>0</v>
      </c>
      <c r="Q43" s="37"/>
      <c r="R43" s="11"/>
      <c r="S43" s="11"/>
      <c r="T43" s="11"/>
      <c r="U43" s="11"/>
      <c r="V43" s="11"/>
      <c r="W43" s="11"/>
      <c r="X43" s="11"/>
      <c r="Y43" s="11"/>
      <c r="Z43" s="11"/>
    </row>
    <row r="44" ht="13.5" customHeight="1">
      <c r="A44" s="35" t="s">
        <v>198</v>
      </c>
      <c r="B44" s="36"/>
      <c r="C44" s="33"/>
      <c r="D44" s="33"/>
      <c r="E44" s="43">
        <v>128.63</v>
      </c>
      <c r="F44" s="43">
        <v>128.63</v>
      </c>
      <c r="G44" s="43">
        <v>128.63</v>
      </c>
      <c r="H44" s="43">
        <v>128.63</v>
      </c>
      <c r="I44" s="43">
        <v>128.63</v>
      </c>
      <c r="J44" s="43">
        <v>128.63</v>
      </c>
      <c r="K44" s="43">
        <v>128.63</v>
      </c>
      <c r="L44" s="43">
        <v>128.63</v>
      </c>
      <c r="M44" s="43">
        <v>128.63</v>
      </c>
      <c r="N44" s="43">
        <v>128.63</v>
      </c>
      <c r="O44" s="43">
        <v>128.63</v>
      </c>
      <c r="P44" s="43">
        <v>128.63</v>
      </c>
      <c r="Q44" s="37"/>
      <c r="R44" s="11"/>
      <c r="S44" s="11"/>
      <c r="T44" s="11"/>
      <c r="U44" s="11"/>
      <c r="V44" s="11"/>
      <c r="W44" s="11"/>
      <c r="X44" s="11"/>
      <c r="Y44" s="11"/>
      <c r="Z44" s="11"/>
    </row>
    <row r="45" ht="13.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3.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3.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3.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3.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3.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3.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3.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3.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3.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3.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3.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3.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3.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3.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3.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3.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3.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3.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3.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3.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3.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3.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3.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3.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3.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3.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3.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3.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3.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3.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3.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3.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3.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3.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3.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3.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3.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3.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3.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3.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3.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3.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3.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3.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3.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3.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3.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3.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3.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3.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3.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3.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3.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3.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3.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3.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3.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3.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3.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3.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3.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3.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3.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3.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3.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3.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3.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3.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3.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3.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3.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3.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3.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3.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3.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3.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3.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3.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3.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3.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3.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3.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3.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3.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3.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3.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3.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3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3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3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3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3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3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3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3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3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3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3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3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3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3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3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3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3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3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3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3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3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3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3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3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3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3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3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3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3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3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3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3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3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3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3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3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3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3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3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3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3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3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3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3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3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3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3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3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3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3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3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3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3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3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3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3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3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3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3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3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3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3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3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3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3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3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3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3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3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3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3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3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3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3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3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3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3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3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3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3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3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3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3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3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3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3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3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3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3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3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3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3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3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3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3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3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3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3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3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3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3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3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3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3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3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3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3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3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3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3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3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3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3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3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3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3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3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3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3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3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3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3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3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3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3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3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3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3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3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3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3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3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3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3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3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3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3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3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3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3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3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3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3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3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3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3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3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3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3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3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3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3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3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3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3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3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3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3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3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3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3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3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3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3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3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3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3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3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3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3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3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3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3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3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3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3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3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3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3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3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3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3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3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3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3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3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3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3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3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3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3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3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3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3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3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3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3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3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3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3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3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3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3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3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3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3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3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3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3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3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3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3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3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3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3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3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3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3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3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3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3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3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3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3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3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3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3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3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3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3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3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3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3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3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3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3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3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3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3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3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3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3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3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3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3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3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3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3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3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3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3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3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3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3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3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3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3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3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3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3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3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3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3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3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3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3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3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3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3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3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3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3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3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3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3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3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3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3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3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3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3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3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3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3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3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3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3.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3.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3.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3.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3.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3.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3.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3.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3.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3.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3.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3.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3.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3.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3.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3.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3.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3.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3.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3.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3.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3.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3.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3.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3.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3.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3.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3.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3.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3.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3.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3.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3.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3.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3.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3.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3.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3.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3.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3.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3.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3.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3.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3.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3.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3.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3.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3.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3.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3.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3.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3.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3.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3.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3.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3.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3.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3.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3.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3.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3.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3.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3.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3.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3.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3.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3.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3.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3.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3.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3.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3.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3.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3.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3.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3.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3.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3.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3.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3.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3.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3.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3.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3.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3.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3.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3.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3.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3.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3.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3.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3.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3.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3.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3.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3.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3.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3.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3.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3.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3.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3.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3.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3.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3.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3.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3.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3.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3.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3.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3.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3.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3.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3.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3.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3.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3.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3.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3.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3.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3.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3.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3.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3.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3.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3.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3.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3.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3.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3.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3.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3.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3.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3.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3.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3.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3.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3.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3.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3.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3.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3.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3.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3.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3.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3.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3.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3.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3.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3.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3.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3.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3.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3.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3.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3.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3.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3.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3.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3.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3.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3.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3.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3.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3.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3.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3.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3.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3.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3.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3.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3.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3.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3.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3.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3.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3.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3.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3.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3.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3.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3.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3.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3.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3.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3.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3.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3.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3.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3.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3.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3.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3.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3.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3.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3.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3.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3.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3.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3.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3.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3.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3.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3.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3.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3.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3.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3.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3.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3.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3.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3.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3.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3.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3.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3.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3.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3.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3.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3.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3.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3.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3.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3.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3.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3.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3.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3.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3.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3.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3.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3.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3.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3.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3.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3.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3.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3.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3.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3.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3.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3.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3.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3.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3.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3.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3.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3.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3.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3.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3.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3.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3.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3.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3.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3.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3.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3.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3.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3.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3.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3.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3.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3.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3.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3.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3.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3.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3.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3.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3.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3.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3.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3.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3.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3.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3.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3.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3.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3.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3.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3.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3.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3.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3.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3.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3.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3.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3.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3.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3.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3.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3.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3.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3.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3.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3.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3.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3.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3.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3.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3.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3.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3.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3.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3.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3.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3.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3.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3.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3.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3.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3.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3.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3.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3.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3.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3.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3.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3.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3.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3.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3.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3.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3.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3.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3.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3.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3.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3.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3.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3.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3.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3.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3.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3.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3.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3.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3.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3.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3.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3.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3.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3.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3.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3.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3.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3.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3.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3.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3.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3.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3.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3.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3.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3.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3.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3.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3.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3.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3.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3.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3.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3.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3.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3.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3.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3.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3.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3.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3.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3.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3.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3.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3.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3.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3.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3.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3.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3.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3.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3.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3.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3.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3.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3.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3.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3.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3.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3.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3.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3.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3.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3.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3.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3.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3.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3.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3.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3.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3.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3.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3.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3.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3.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3.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3.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3.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3.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3.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3.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3.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3.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3.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3.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3.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3.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3.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3.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3.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3.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3.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3.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3.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3.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3.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3.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3.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3.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3.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3.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3.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3.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3.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3.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3.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3.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3.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3.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3.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3.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3.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3.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3.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3.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3.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3.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3.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3.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3.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3.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3.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3.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3.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3.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3.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3.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3.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3.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3.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3.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3.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3.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3.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3.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3.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3.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3.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3.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3.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3.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3.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3.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3.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3.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3.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3.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3.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3.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3.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3.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3.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3.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3.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3.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3.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3.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3.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3.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3.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3.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3.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3.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3.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3.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3.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3.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3.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3.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3.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3.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3.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3.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3.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3.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3.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3.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3.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3.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3.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3.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3.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3.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3.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3.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3.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3.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3.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3.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3.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3.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3.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3.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3.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3.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3.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3.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3.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3.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3.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3.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3.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3.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3.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3.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3.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3.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3.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3.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3.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3.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3.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3.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3.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3.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3.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3.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3.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3.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3.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3.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3.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3.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3.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3.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3.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3.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3.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3.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3.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3.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3.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3.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3.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3.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3.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3.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3.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3.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3.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3.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3.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3.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3.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3.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3.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3.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3.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3.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3.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3.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3.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8">
    <mergeCell ref="A37:B37"/>
    <mergeCell ref="A38:B38"/>
    <mergeCell ref="A39:B39"/>
    <mergeCell ref="A40:B40"/>
    <mergeCell ref="A41:B41"/>
    <mergeCell ref="A42:B42"/>
    <mergeCell ref="A43:B43"/>
    <mergeCell ref="A44:B44"/>
  </mergeCells>
  <dataValidations>
    <dataValidation type="custom" allowBlank="1" showDropDown="1" sqref="Q20:Q35">
      <formula1>OR(NOT(ISERROR(DATEVALUE(Q20))), AND(ISNUMBER(Q20), LEFT(CELL("format", Q20))="D"))</formula1>
    </dataValidation>
    <dataValidation type="custom" allowBlank="1" showDropDown="1" sqref="E2:Q17 D20:P35">
      <formula1>AND(ISNUMBER(D2),(NOT(OR(NOT(ISERROR(DATEVALUE(D2))), AND(ISNUMBER(D2), LEFT(CELL("format", D2))="D")))))</formula1>
    </dataValidation>
    <dataValidation allowBlank="1" showDropDown="1" sqref="A2:D17 A20:B35"/>
  </dataValidations>
  <printOptions/>
  <pageMargins bottom="0.75" footer="0.0" header="0.0" left="0.5" right="0.5" top="0.75"/>
  <pageSetup scale="72" orientation="portrait"/>
  <headerFooter>
    <oddFooter>&amp;C000000&amp;P</oddFooter>
  </headerFooter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0.0"/>
    <col customWidth="1" min="2" max="2" width="61.43"/>
    <col customWidth="1" min="3" max="3" width="44.29"/>
    <col customWidth="1" min="4" max="4" width="14.71"/>
    <col customWidth="1" min="5" max="5" width="15.43"/>
    <col customWidth="1" min="6" max="6" width="15.71"/>
    <col customWidth="1" min="7" max="7" width="15.57"/>
    <col customWidth="1" min="8" max="8" width="16.29"/>
    <col customWidth="1" min="9" max="9" width="15.43"/>
    <col customWidth="1" min="10" max="10" width="15.71"/>
    <col customWidth="1" min="11" max="11" width="19.14"/>
    <col customWidth="1" min="12" max="12" width="14.43"/>
    <col customWidth="1" min="13" max="13" width="13.86"/>
    <col customWidth="1" min="14" max="14" width="14.43"/>
    <col customWidth="1" min="15" max="15" width="18.0"/>
    <col customWidth="1" min="16" max="16" width="16.29"/>
    <col customWidth="1" min="17" max="17" width="16.57"/>
    <col customWidth="1" min="18" max="26" width="16.29"/>
  </cols>
  <sheetData>
    <row r="1" ht="13.5" customHeight="1">
      <c r="A1" s="7" t="s">
        <v>8</v>
      </c>
      <c r="B1" s="7" t="s">
        <v>9</v>
      </c>
      <c r="C1" s="7" t="s">
        <v>10</v>
      </c>
      <c r="D1" s="7" t="s">
        <v>12</v>
      </c>
      <c r="E1" s="9">
        <v>46023.0</v>
      </c>
      <c r="F1" s="9">
        <v>46054.0</v>
      </c>
      <c r="G1" s="9">
        <v>46082.0</v>
      </c>
      <c r="H1" s="9">
        <v>46113.0</v>
      </c>
      <c r="I1" s="9">
        <v>46143.0</v>
      </c>
      <c r="J1" s="9">
        <v>46174.0</v>
      </c>
      <c r="K1" s="9">
        <v>46204.0</v>
      </c>
      <c r="L1" s="9">
        <v>46235.0</v>
      </c>
      <c r="M1" s="9">
        <v>46266.0</v>
      </c>
      <c r="N1" s="9">
        <v>46296.0</v>
      </c>
      <c r="O1" s="9">
        <v>46327.0</v>
      </c>
      <c r="P1" s="9">
        <v>46357.0</v>
      </c>
      <c r="Q1" s="9">
        <v>46388.0</v>
      </c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26</v>
      </c>
      <c r="B2" s="12" t="s">
        <v>29</v>
      </c>
      <c r="C2" s="13" t="s">
        <v>30</v>
      </c>
      <c r="D2" s="13" t="s">
        <v>32</v>
      </c>
      <c r="E2" s="14">
        <v>645650.0</v>
      </c>
      <c r="F2" s="15">
        <v>657044.0</v>
      </c>
      <c r="G2" s="15">
        <v>665331.0</v>
      </c>
      <c r="H2" s="15">
        <v>670478.0</v>
      </c>
      <c r="I2" s="15">
        <v>674991.0</v>
      </c>
      <c r="J2" s="15">
        <v>675671.0</v>
      </c>
      <c r="K2" s="15">
        <v>675774.0</v>
      </c>
      <c r="L2" s="15">
        <v>675805.0</v>
      </c>
      <c r="M2" s="14">
        <v>0.0</v>
      </c>
      <c r="N2" s="14">
        <v>0.0</v>
      </c>
      <c r="O2" s="14">
        <v>0.0</v>
      </c>
      <c r="P2" s="14">
        <v>0.0</v>
      </c>
      <c r="Q2" s="14">
        <v>0.0</v>
      </c>
      <c r="R2" s="11"/>
      <c r="S2" s="11"/>
      <c r="T2" s="11"/>
      <c r="U2" s="11"/>
      <c r="V2" s="11"/>
      <c r="W2" s="11"/>
      <c r="X2" s="11"/>
      <c r="Y2" s="11"/>
      <c r="Z2" s="11"/>
    </row>
    <row r="3">
      <c r="A3" s="12" t="s">
        <v>40</v>
      </c>
      <c r="B3" s="12" t="s">
        <v>29</v>
      </c>
      <c r="C3" s="13" t="s">
        <v>30</v>
      </c>
      <c r="D3" s="13" t="s">
        <v>32</v>
      </c>
      <c r="E3" s="14">
        <v>291749.0</v>
      </c>
      <c r="F3" s="15">
        <v>296028.0</v>
      </c>
      <c r="G3" s="15">
        <v>299148.0</v>
      </c>
      <c r="H3" s="15">
        <v>301044.0</v>
      </c>
      <c r="I3" s="15">
        <v>302438.0</v>
      </c>
      <c r="J3" s="15">
        <v>302647.0</v>
      </c>
      <c r="K3" s="15">
        <v>302690.0</v>
      </c>
      <c r="L3" s="15">
        <v>302698.0</v>
      </c>
      <c r="M3" s="14">
        <v>0.0</v>
      </c>
      <c r="N3" s="14">
        <v>0.0</v>
      </c>
      <c r="O3" s="14">
        <v>0.0</v>
      </c>
      <c r="P3" s="14">
        <v>0.0</v>
      </c>
      <c r="Q3" s="14">
        <v>0.0</v>
      </c>
      <c r="R3" s="11"/>
      <c r="S3" s="11"/>
      <c r="T3" s="11"/>
      <c r="U3" s="11"/>
      <c r="V3" s="11"/>
      <c r="W3" s="11"/>
      <c r="X3" s="11"/>
      <c r="Y3" s="11"/>
      <c r="Z3" s="11"/>
    </row>
    <row r="4">
      <c r="A4" s="12" t="s">
        <v>43</v>
      </c>
      <c r="B4" s="12" t="s">
        <v>15</v>
      </c>
      <c r="C4" s="13"/>
      <c r="D4" s="13" t="s">
        <v>32</v>
      </c>
      <c r="E4" s="14">
        <v>96803.0</v>
      </c>
      <c r="F4" s="15">
        <v>99102.0</v>
      </c>
      <c r="G4" s="15">
        <v>100745.0</v>
      </c>
      <c r="H4" s="15">
        <v>101700.0</v>
      </c>
      <c r="I4" s="15">
        <v>102211.0</v>
      </c>
      <c r="J4" s="15">
        <v>102276.0</v>
      </c>
      <c r="K4" s="15">
        <v>102276.0</v>
      </c>
      <c r="L4" s="15">
        <v>102276.0</v>
      </c>
      <c r="M4" s="14">
        <v>0.0</v>
      </c>
      <c r="N4" s="14">
        <v>0.0</v>
      </c>
      <c r="O4" s="14">
        <v>0.0</v>
      </c>
      <c r="P4" s="14">
        <v>0.0</v>
      </c>
      <c r="Q4" s="14">
        <v>0.0</v>
      </c>
      <c r="R4" s="11"/>
      <c r="S4" s="11"/>
      <c r="T4" s="11"/>
      <c r="U4" s="11"/>
      <c r="V4" s="11"/>
      <c r="W4" s="11"/>
      <c r="X4" s="11"/>
      <c r="Y4" s="11"/>
      <c r="Z4" s="11"/>
    </row>
    <row r="5">
      <c r="A5" s="12" t="s">
        <v>49</v>
      </c>
      <c r="B5" s="12" t="s">
        <v>42</v>
      </c>
      <c r="C5" s="13"/>
      <c r="D5" s="13" t="s">
        <v>32</v>
      </c>
      <c r="E5" s="14">
        <v>124021.0</v>
      </c>
      <c r="F5" s="15">
        <v>126518.0</v>
      </c>
      <c r="G5" s="15">
        <v>128217.0</v>
      </c>
      <c r="H5" s="15">
        <v>128919.0</v>
      </c>
      <c r="I5" s="15">
        <v>129331.0</v>
      </c>
      <c r="J5" s="15">
        <v>129380.0</v>
      </c>
      <c r="K5" s="15">
        <v>129385.0</v>
      </c>
      <c r="L5" s="15">
        <v>129389.0</v>
      </c>
      <c r="M5" s="14">
        <v>0.0</v>
      </c>
      <c r="N5" s="14">
        <v>0.0</v>
      </c>
      <c r="O5" s="14">
        <v>0.0</v>
      </c>
      <c r="P5" s="14">
        <v>0.0</v>
      </c>
      <c r="Q5" s="14">
        <v>0.0</v>
      </c>
      <c r="R5" s="11"/>
      <c r="S5" s="11"/>
      <c r="T5" s="11"/>
      <c r="U5" s="11"/>
      <c r="V5" s="11"/>
      <c r="W5" s="11"/>
      <c r="X5" s="11"/>
      <c r="Y5" s="11"/>
      <c r="Z5" s="11"/>
    </row>
    <row r="6">
      <c r="A6" s="12" t="s">
        <v>55</v>
      </c>
      <c r="B6" s="12" t="s">
        <v>50</v>
      </c>
      <c r="C6" s="21"/>
      <c r="D6" s="13" t="s">
        <v>32</v>
      </c>
      <c r="E6" s="14">
        <v>45226.0</v>
      </c>
      <c r="F6" s="15">
        <v>45226.0</v>
      </c>
      <c r="G6" s="15">
        <v>45226.0</v>
      </c>
      <c r="H6" s="15">
        <v>45226.0</v>
      </c>
      <c r="I6" s="15">
        <v>45226.0</v>
      </c>
      <c r="J6" s="15">
        <v>45226.0</v>
      </c>
      <c r="K6" s="15">
        <v>45226.0</v>
      </c>
      <c r="L6" s="15">
        <v>45226.0</v>
      </c>
      <c r="M6" s="14">
        <v>0.0</v>
      </c>
      <c r="N6" s="14">
        <v>0.0</v>
      </c>
      <c r="O6" s="14">
        <v>0.0</v>
      </c>
      <c r="P6" s="14">
        <v>0.0</v>
      </c>
      <c r="Q6" s="14">
        <v>0.0</v>
      </c>
      <c r="R6" s="11"/>
      <c r="S6" s="11"/>
      <c r="T6" s="11"/>
      <c r="U6" s="11"/>
      <c r="V6" s="11"/>
      <c r="W6" s="11"/>
      <c r="X6" s="11"/>
      <c r="Y6" s="11"/>
      <c r="Z6" s="11"/>
    </row>
    <row r="7">
      <c r="A7" s="12" t="s">
        <v>60</v>
      </c>
      <c r="B7" s="12" t="s">
        <v>61</v>
      </c>
      <c r="C7" s="13" t="s">
        <v>62</v>
      </c>
      <c r="D7" s="13" t="s">
        <v>32</v>
      </c>
      <c r="E7" s="14">
        <v>219994.0</v>
      </c>
      <c r="F7" s="15">
        <v>223320.0</v>
      </c>
      <c r="G7" s="15">
        <v>226155.0</v>
      </c>
      <c r="H7" s="15">
        <v>228025.0</v>
      </c>
      <c r="I7" s="15">
        <v>229751.0</v>
      </c>
      <c r="J7" s="15">
        <v>229967.0</v>
      </c>
      <c r="K7" s="15">
        <v>230009.0</v>
      </c>
      <c r="L7" s="15">
        <v>230009.0</v>
      </c>
      <c r="M7" s="14">
        <v>0.0</v>
      </c>
      <c r="N7" s="14">
        <v>0.0</v>
      </c>
      <c r="O7" s="14">
        <v>0.0</v>
      </c>
      <c r="P7" s="14">
        <v>0.0</v>
      </c>
      <c r="Q7" s="14">
        <v>0.0</v>
      </c>
      <c r="R7" s="11"/>
      <c r="S7" s="11"/>
      <c r="T7" s="11"/>
      <c r="U7" s="11"/>
      <c r="V7" s="11"/>
      <c r="W7" s="11"/>
      <c r="X7" s="11"/>
      <c r="Y7" s="11"/>
      <c r="Z7" s="11"/>
    </row>
    <row r="8">
      <c r="A8" s="12" t="s">
        <v>66</v>
      </c>
      <c r="B8" s="12" t="s">
        <v>11</v>
      </c>
      <c r="C8" s="13"/>
      <c r="D8" s="13" t="s">
        <v>32</v>
      </c>
      <c r="E8" s="14">
        <v>146630.0</v>
      </c>
      <c r="F8" s="15">
        <v>148847.0</v>
      </c>
      <c r="G8" s="15">
        <v>150088.0</v>
      </c>
      <c r="H8" s="15">
        <v>150088.0</v>
      </c>
      <c r="I8" s="15">
        <v>150088.0</v>
      </c>
      <c r="J8" s="15">
        <v>150088.0</v>
      </c>
      <c r="K8" s="15">
        <v>150088.0</v>
      </c>
      <c r="L8" s="15">
        <v>150088.0</v>
      </c>
      <c r="M8" s="14">
        <v>0.0</v>
      </c>
      <c r="N8" s="14">
        <v>0.0</v>
      </c>
      <c r="O8" s="14">
        <v>0.0</v>
      </c>
      <c r="P8" s="14">
        <v>0.0</v>
      </c>
      <c r="Q8" s="14">
        <v>0.0</v>
      </c>
      <c r="R8" s="11"/>
      <c r="S8" s="11"/>
      <c r="T8" s="11"/>
      <c r="U8" s="11"/>
      <c r="V8" s="11"/>
      <c r="W8" s="11"/>
      <c r="X8" s="11"/>
      <c r="Y8" s="11"/>
      <c r="Z8" s="11"/>
    </row>
    <row r="9">
      <c r="A9" s="12" t="s">
        <v>68</v>
      </c>
      <c r="B9" s="12" t="s">
        <v>11</v>
      </c>
      <c r="C9" s="13"/>
      <c r="D9" s="13" t="s">
        <v>32</v>
      </c>
      <c r="E9" s="14">
        <v>25146.0</v>
      </c>
      <c r="F9" s="15">
        <v>25833.0</v>
      </c>
      <c r="G9" s="15">
        <v>26715.0</v>
      </c>
      <c r="H9" s="15">
        <v>26762.0</v>
      </c>
      <c r="I9" s="15">
        <v>26944.0</v>
      </c>
      <c r="J9" s="15">
        <v>26966.0</v>
      </c>
      <c r="K9" s="15">
        <v>26970.0</v>
      </c>
      <c r="L9" s="15">
        <v>26972.0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1"/>
      <c r="S9" s="11"/>
      <c r="T9" s="11"/>
      <c r="U9" s="11"/>
      <c r="V9" s="11"/>
      <c r="W9" s="11"/>
      <c r="X9" s="11"/>
      <c r="Y9" s="11"/>
      <c r="Z9" s="11"/>
    </row>
    <row r="10">
      <c r="A10" s="12" t="s">
        <v>76</v>
      </c>
      <c r="B10" s="12" t="s">
        <v>78</v>
      </c>
      <c r="C10" s="13" t="s">
        <v>79</v>
      </c>
      <c r="D10" s="13" t="s">
        <v>32</v>
      </c>
      <c r="E10" s="14">
        <v>180048.0</v>
      </c>
      <c r="F10" s="15">
        <v>188646.0</v>
      </c>
      <c r="G10" s="15">
        <v>195512.0</v>
      </c>
      <c r="H10" s="15">
        <v>199250.0</v>
      </c>
      <c r="I10" s="15">
        <v>202596.0</v>
      </c>
      <c r="J10" s="15">
        <v>202936.0</v>
      </c>
      <c r="K10" s="15">
        <v>202991.0</v>
      </c>
      <c r="L10" s="15">
        <v>203009.0</v>
      </c>
      <c r="M10" s="14">
        <v>0.0</v>
      </c>
      <c r="N10" s="14">
        <v>0.0</v>
      </c>
      <c r="O10" s="14">
        <v>0.0</v>
      </c>
      <c r="P10" s="14">
        <v>0.0</v>
      </c>
      <c r="Q10" s="14">
        <v>0.0</v>
      </c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2" t="s">
        <v>82</v>
      </c>
      <c r="B11" s="12" t="s">
        <v>63</v>
      </c>
      <c r="C11" s="13"/>
      <c r="D11" s="13" t="s">
        <v>32</v>
      </c>
      <c r="E11" s="14">
        <v>26077.0</v>
      </c>
      <c r="F11" s="15">
        <v>26077.0</v>
      </c>
      <c r="G11" s="15">
        <v>26077.0</v>
      </c>
      <c r="H11" s="15">
        <v>26077.0</v>
      </c>
      <c r="I11" s="15">
        <v>26077.0</v>
      </c>
      <c r="J11" s="15">
        <v>26077.0</v>
      </c>
      <c r="K11" s="15">
        <v>26077.0</v>
      </c>
      <c r="L11" s="15">
        <v>26077.0</v>
      </c>
      <c r="M11" s="14">
        <v>0.0</v>
      </c>
      <c r="N11" s="14">
        <v>0.0</v>
      </c>
      <c r="O11" s="14">
        <v>0.0</v>
      </c>
      <c r="P11" s="14">
        <v>0.0</v>
      </c>
      <c r="Q11" s="14">
        <v>0.0</v>
      </c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2" t="s">
        <v>86</v>
      </c>
      <c r="B12" s="12" t="s">
        <v>63</v>
      </c>
      <c r="C12" s="13"/>
      <c r="D12" s="13" t="s">
        <v>32</v>
      </c>
      <c r="E12" s="14">
        <v>10840.0</v>
      </c>
      <c r="F12" s="15">
        <v>10840.0</v>
      </c>
      <c r="G12" s="15">
        <v>10840.0</v>
      </c>
      <c r="H12" s="15">
        <v>10840.0</v>
      </c>
      <c r="I12" s="15">
        <v>10840.0</v>
      </c>
      <c r="J12" s="15">
        <v>10840.0</v>
      </c>
      <c r="K12" s="15">
        <v>10840.0</v>
      </c>
      <c r="L12" s="15">
        <v>10840.0</v>
      </c>
      <c r="M12" s="14">
        <v>0.0</v>
      </c>
      <c r="N12" s="14">
        <v>0.0</v>
      </c>
      <c r="O12" s="14">
        <v>0.0</v>
      </c>
      <c r="P12" s="14">
        <v>0.0</v>
      </c>
      <c r="Q12" s="14">
        <v>0.0</v>
      </c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2" t="s">
        <v>91</v>
      </c>
      <c r="B13" s="12" t="s">
        <v>61</v>
      </c>
      <c r="C13" s="13"/>
      <c r="D13" s="13" t="s">
        <v>32</v>
      </c>
      <c r="E13" s="14">
        <v>530740.0</v>
      </c>
      <c r="F13" s="15">
        <v>538273.0</v>
      </c>
      <c r="G13" s="15">
        <v>543846.0</v>
      </c>
      <c r="H13" s="15">
        <v>547087.0</v>
      </c>
      <c r="I13" s="15">
        <v>549320.0</v>
      </c>
      <c r="J13" s="15">
        <v>549441.0</v>
      </c>
      <c r="K13" s="15">
        <v>549449.0</v>
      </c>
      <c r="L13" s="15">
        <v>549449.0</v>
      </c>
      <c r="M13" s="14">
        <v>0.0</v>
      </c>
      <c r="N13" s="14">
        <v>0.0</v>
      </c>
      <c r="O13" s="14">
        <v>0.0</v>
      </c>
      <c r="P13" s="14">
        <v>0.0</v>
      </c>
      <c r="Q13" s="14">
        <v>0.0</v>
      </c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2" t="s">
        <v>92</v>
      </c>
      <c r="B14" s="12" t="s">
        <v>70</v>
      </c>
      <c r="C14" s="13" t="s">
        <v>94</v>
      </c>
      <c r="D14" s="13" t="s">
        <v>32</v>
      </c>
      <c r="E14" s="14">
        <v>670308.0</v>
      </c>
      <c r="F14" s="15">
        <v>675251.0</v>
      </c>
      <c r="G14" s="15">
        <v>678982.0</v>
      </c>
      <c r="H14" s="15">
        <v>680838.0</v>
      </c>
      <c r="I14" s="15">
        <v>682309.0</v>
      </c>
      <c r="J14" s="15">
        <v>682493.0</v>
      </c>
      <c r="K14" s="15">
        <v>682508.0</v>
      </c>
      <c r="L14" s="15">
        <v>682516.0</v>
      </c>
      <c r="M14" s="14">
        <v>0.0</v>
      </c>
      <c r="N14" s="14">
        <v>0.0</v>
      </c>
      <c r="O14" s="14">
        <v>0.0</v>
      </c>
      <c r="P14" s="14">
        <v>0.0</v>
      </c>
      <c r="Q14" s="14">
        <v>0.0</v>
      </c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2" t="s">
        <v>96</v>
      </c>
      <c r="B15" s="12" t="s">
        <v>72</v>
      </c>
      <c r="C15" s="13" t="s">
        <v>97</v>
      </c>
      <c r="D15" s="13" t="s">
        <v>32</v>
      </c>
      <c r="E15" s="14">
        <v>207583.0</v>
      </c>
      <c r="F15" s="15">
        <v>213640.0</v>
      </c>
      <c r="G15" s="15">
        <v>216371.0</v>
      </c>
      <c r="H15" s="15">
        <v>216735.0</v>
      </c>
      <c r="I15" s="15">
        <v>216861.0</v>
      </c>
      <c r="J15" s="15">
        <v>216863.0</v>
      </c>
      <c r="K15" s="15">
        <v>216863.0</v>
      </c>
      <c r="L15" s="15">
        <v>216863.0</v>
      </c>
      <c r="M15" s="14">
        <v>0.0</v>
      </c>
      <c r="N15" s="14">
        <v>0.0</v>
      </c>
      <c r="O15" s="14">
        <v>0.0</v>
      </c>
      <c r="P15" s="14">
        <v>0.0</v>
      </c>
      <c r="Q15" s="14">
        <v>0.0</v>
      </c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2" t="s">
        <v>100</v>
      </c>
      <c r="B16" s="12" t="s">
        <v>22</v>
      </c>
      <c r="C16" s="13"/>
      <c r="D16" s="13" t="s">
        <v>32</v>
      </c>
      <c r="E16" s="14">
        <v>164267.0</v>
      </c>
      <c r="F16" s="15">
        <v>167141.0</v>
      </c>
      <c r="G16" s="15">
        <v>169182.0</v>
      </c>
      <c r="H16" s="15">
        <v>170638.0</v>
      </c>
      <c r="I16" s="15">
        <v>171676.0</v>
      </c>
      <c r="J16" s="15">
        <v>171824.0</v>
      </c>
      <c r="K16" s="15">
        <v>171842.0</v>
      </c>
      <c r="L16" s="15">
        <v>171845.0</v>
      </c>
      <c r="M16" s="14">
        <v>0.0</v>
      </c>
      <c r="N16" s="14">
        <v>0.0</v>
      </c>
      <c r="O16" s="14">
        <v>0.0</v>
      </c>
      <c r="P16" s="14">
        <v>0.0</v>
      </c>
      <c r="Q16" s="14">
        <v>0.0</v>
      </c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2" t="s">
        <v>102</v>
      </c>
      <c r="B17" s="12" t="s">
        <v>59</v>
      </c>
      <c r="C17" s="13"/>
      <c r="D17" s="13" t="s">
        <v>32</v>
      </c>
      <c r="E17" s="14">
        <v>78700.0</v>
      </c>
      <c r="F17" s="15">
        <v>80620.0</v>
      </c>
      <c r="G17" s="15">
        <v>81981.0</v>
      </c>
      <c r="H17" s="15">
        <v>82787.0</v>
      </c>
      <c r="I17" s="15">
        <v>83531.0</v>
      </c>
      <c r="J17" s="15">
        <v>83619.0</v>
      </c>
      <c r="K17" s="15">
        <v>83624.0</v>
      </c>
      <c r="L17" s="15">
        <v>83624.0</v>
      </c>
      <c r="M17" s="14">
        <v>0.0</v>
      </c>
      <c r="N17" s="14">
        <v>0.0</v>
      </c>
      <c r="O17" s="14">
        <v>0.0</v>
      </c>
      <c r="P17" s="14">
        <v>0.0</v>
      </c>
      <c r="Q17" s="14">
        <v>0.0</v>
      </c>
      <c r="R17" s="11"/>
      <c r="S17" s="11"/>
      <c r="T17" s="11"/>
      <c r="U17" s="11"/>
      <c r="V17" s="11"/>
      <c r="W17" s="11"/>
      <c r="X17" s="11"/>
      <c r="Y17" s="11"/>
      <c r="Z17" s="11"/>
    </row>
    <row r="18" ht="15.0" customHeight="1">
      <c r="A18" s="12" t="s">
        <v>105</v>
      </c>
      <c r="B18" s="12" t="s">
        <v>29</v>
      </c>
      <c r="C18" s="13" t="s">
        <v>106</v>
      </c>
      <c r="D18" s="13" t="s">
        <v>32</v>
      </c>
      <c r="E18" s="14">
        <v>149933.0</v>
      </c>
      <c r="F18" s="15">
        <v>154533.0</v>
      </c>
      <c r="G18" s="15">
        <v>157437.0</v>
      </c>
      <c r="H18" s="15">
        <v>158812.0</v>
      </c>
      <c r="I18" s="15">
        <v>159967.0</v>
      </c>
      <c r="J18" s="15">
        <v>160124.0</v>
      </c>
      <c r="K18" s="15">
        <v>160145.0</v>
      </c>
      <c r="L18" s="15">
        <v>160145.0</v>
      </c>
      <c r="M18" s="14">
        <v>0.0</v>
      </c>
      <c r="N18" s="14">
        <v>0.0</v>
      </c>
      <c r="O18" s="14">
        <v>0.0</v>
      </c>
      <c r="P18" s="14">
        <v>0.0</v>
      </c>
      <c r="Q18" s="14">
        <v>0.0</v>
      </c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2" t="s">
        <v>109</v>
      </c>
      <c r="B19" s="12" t="s">
        <v>61</v>
      </c>
      <c r="C19" s="13"/>
      <c r="D19" s="13" t="s">
        <v>32</v>
      </c>
      <c r="E19" s="14">
        <v>88603.0</v>
      </c>
      <c r="F19" s="15">
        <v>89975.0</v>
      </c>
      <c r="G19" s="15">
        <v>91089.0</v>
      </c>
      <c r="H19" s="15">
        <v>91872.0</v>
      </c>
      <c r="I19" s="15">
        <v>92587.0</v>
      </c>
      <c r="J19" s="15">
        <v>92652.0</v>
      </c>
      <c r="K19" s="15">
        <v>92663.0</v>
      </c>
      <c r="L19" s="15">
        <v>92663.0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2" t="s">
        <v>110</v>
      </c>
      <c r="B20" s="12" t="s">
        <v>70</v>
      </c>
      <c r="C20" s="13"/>
      <c r="D20" s="13" t="s">
        <v>32</v>
      </c>
      <c r="E20" s="14">
        <v>163410.0</v>
      </c>
      <c r="F20" s="15">
        <v>163410.0</v>
      </c>
      <c r="G20" s="15">
        <v>163410.0</v>
      </c>
      <c r="H20" s="15">
        <v>163410.0</v>
      </c>
      <c r="I20" s="15">
        <v>163410.0</v>
      </c>
      <c r="J20" s="15">
        <v>163410.0</v>
      </c>
      <c r="K20" s="15">
        <v>163410.0</v>
      </c>
      <c r="L20" s="15">
        <v>163410.0</v>
      </c>
      <c r="M20" s="14">
        <v>0.0</v>
      </c>
      <c r="N20" s="14">
        <v>0.0</v>
      </c>
      <c r="O20" s="14">
        <v>0.0</v>
      </c>
      <c r="P20" s="14">
        <v>0.0</v>
      </c>
      <c r="Q20" s="14">
        <v>0.0</v>
      </c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2" t="s">
        <v>112</v>
      </c>
      <c r="B21" s="12" t="s">
        <v>70</v>
      </c>
      <c r="C21" s="13"/>
      <c r="D21" s="13" t="s">
        <v>32</v>
      </c>
      <c r="E21" s="14">
        <v>0.0</v>
      </c>
      <c r="F21" s="15">
        <v>0.0</v>
      </c>
      <c r="G21" s="14">
        <v>0.0</v>
      </c>
      <c r="H21" s="14">
        <v>0.0</v>
      </c>
      <c r="I21" s="14">
        <v>0.0</v>
      </c>
      <c r="J21" s="14">
        <v>0.0</v>
      </c>
      <c r="K21" s="14">
        <v>0.0</v>
      </c>
      <c r="L21" s="14">
        <v>0.0</v>
      </c>
      <c r="M21" s="14">
        <v>0.0</v>
      </c>
      <c r="N21" s="14">
        <v>0.0</v>
      </c>
      <c r="O21" s="14">
        <v>0.0</v>
      </c>
      <c r="P21" s="14">
        <v>0.0</v>
      </c>
      <c r="Q21" s="14">
        <v>0.0</v>
      </c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2" t="s">
        <v>115</v>
      </c>
      <c r="B22" s="12" t="s">
        <v>39</v>
      </c>
      <c r="C22" s="13" t="s">
        <v>116</v>
      </c>
      <c r="D22" s="13" t="s">
        <v>32</v>
      </c>
      <c r="E22" s="14">
        <v>260.0</v>
      </c>
      <c r="F22" s="15">
        <v>289.0</v>
      </c>
      <c r="G22" s="15">
        <v>310.0</v>
      </c>
      <c r="H22" s="15">
        <v>320.0</v>
      </c>
      <c r="I22" s="15">
        <v>328.0</v>
      </c>
      <c r="J22" s="15">
        <v>330.0</v>
      </c>
      <c r="K22" s="15">
        <v>330.0</v>
      </c>
      <c r="L22" s="15">
        <v>330.0</v>
      </c>
      <c r="M22" s="14">
        <v>0.0</v>
      </c>
      <c r="N22" s="14">
        <v>0.0</v>
      </c>
      <c r="O22" s="14">
        <v>0.0</v>
      </c>
      <c r="P22" s="14">
        <v>0.0</v>
      </c>
      <c r="Q22" s="14">
        <v>0.0</v>
      </c>
      <c r="R22" s="11"/>
      <c r="S22" s="11"/>
      <c r="T22" s="11"/>
      <c r="U22" s="11"/>
      <c r="V22" s="11"/>
      <c r="W22" s="11"/>
      <c r="X22" s="11"/>
      <c r="Y22" s="11"/>
      <c r="Z22" s="11"/>
    </row>
    <row r="23" ht="13.5" customHeight="1">
      <c r="A23" s="12" t="s">
        <v>118</v>
      </c>
      <c r="B23" s="12" t="s">
        <v>29</v>
      </c>
      <c r="C23" s="25" t="s">
        <v>120</v>
      </c>
      <c r="D23" s="13" t="s">
        <v>123</v>
      </c>
      <c r="E23" s="14">
        <v>56.0</v>
      </c>
      <c r="F23" s="15">
        <v>63.0</v>
      </c>
      <c r="G23" s="15">
        <v>70.0</v>
      </c>
      <c r="H23" s="15">
        <v>77.0</v>
      </c>
      <c r="I23" s="15">
        <v>83.0</v>
      </c>
      <c r="J23" s="15">
        <v>91.0</v>
      </c>
      <c r="K23" s="15">
        <v>95.336</v>
      </c>
      <c r="L23" s="15">
        <v>98.0</v>
      </c>
      <c r="M23" s="14">
        <v>0.0</v>
      </c>
      <c r="N23" s="14">
        <v>0.0</v>
      </c>
      <c r="O23" s="14">
        <v>0.0</v>
      </c>
      <c r="P23" s="14">
        <v>0.0</v>
      </c>
      <c r="Q23" s="14">
        <v>0.0</v>
      </c>
      <c r="R23" s="11"/>
      <c r="S23" s="11"/>
      <c r="T23" s="11"/>
      <c r="U23" s="11"/>
      <c r="V23" s="11"/>
      <c r="W23" s="11"/>
      <c r="X23" s="11"/>
      <c r="Y23" s="11"/>
      <c r="Z23" s="11"/>
    </row>
    <row r="24" ht="13.5" customHeight="1">
      <c r="A24" s="12" t="s">
        <v>126</v>
      </c>
      <c r="B24" s="12" t="s">
        <v>6</v>
      </c>
      <c r="C24" s="13"/>
      <c r="D24" s="26" t="s">
        <v>123</v>
      </c>
      <c r="E24" s="27">
        <v>516.921</v>
      </c>
      <c r="F24" s="27">
        <v>793.723</v>
      </c>
      <c r="G24" s="15">
        <v>992.79</v>
      </c>
      <c r="H24" s="15">
        <v>1103.0</v>
      </c>
      <c r="I24" s="15">
        <v>1193.0</v>
      </c>
      <c r="J24" s="15">
        <v>1212.0</v>
      </c>
      <c r="K24" s="15">
        <v>1221.0</v>
      </c>
      <c r="L24" s="15">
        <v>1227.0</v>
      </c>
      <c r="M24" s="14">
        <v>0.0</v>
      </c>
      <c r="N24" s="14">
        <v>0.0</v>
      </c>
      <c r="O24" s="14">
        <v>0.0</v>
      </c>
      <c r="P24" s="14">
        <v>0.0</v>
      </c>
      <c r="Q24" s="14">
        <v>0.0</v>
      </c>
      <c r="R24" s="11"/>
      <c r="S24" s="11"/>
      <c r="T24" s="11"/>
      <c r="U24" s="11"/>
      <c r="V24" s="11"/>
      <c r="W24" s="11"/>
      <c r="X24" s="11"/>
      <c r="Y24" s="11"/>
      <c r="Z24" s="11"/>
    </row>
    <row r="25" ht="13.5" customHeight="1">
      <c r="A25" s="28"/>
      <c r="B25" s="28"/>
      <c r="C25" s="28"/>
      <c r="D25" s="28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3.5" customHeight="1">
      <c r="A26" s="8" t="s">
        <v>133</v>
      </c>
      <c r="B26" s="8" t="s">
        <v>9</v>
      </c>
      <c r="C26" s="8" t="s">
        <v>10</v>
      </c>
      <c r="D26" s="8" t="s">
        <v>134</v>
      </c>
      <c r="E26" s="29" t="s">
        <v>135</v>
      </c>
      <c r="F26" s="29" t="s">
        <v>136</v>
      </c>
      <c r="G26" s="29" t="s">
        <v>137</v>
      </c>
      <c r="H26" s="29" t="s">
        <v>138</v>
      </c>
      <c r="I26" s="29" t="s">
        <v>139</v>
      </c>
      <c r="J26" s="29" t="s">
        <v>140</v>
      </c>
      <c r="K26" s="29" t="s">
        <v>141</v>
      </c>
      <c r="L26" s="29" t="s">
        <v>142</v>
      </c>
      <c r="M26" s="29" t="s">
        <v>143</v>
      </c>
      <c r="N26" s="29" t="s">
        <v>144</v>
      </c>
      <c r="O26" s="29" t="s">
        <v>145</v>
      </c>
      <c r="P26" s="29" t="s">
        <v>146</v>
      </c>
      <c r="Q26" s="8" t="s">
        <v>148</v>
      </c>
      <c r="R26" s="11"/>
      <c r="S26" s="11"/>
      <c r="T26" s="11"/>
      <c r="U26" s="11"/>
      <c r="V26" s="11"/>
      <c r="W26" s="11"/>
      <c r="X26" s="11"/>
      <c r="Y26" s="11"/>
      <c r="Z26" s="11"/>
    </row>
    <row r="27" ht="13.5" customHeight="1">
      <c r="A27" s="16" t="str">
        <f t="shared" ref="A27:A49" si="2">$A2</f>
        <v>T_A1S</v>
      </c>
      <c r="B27" s="16" t="str">
        <f t="shared" ref="B27:B46" si="3">B2</f>
        <v>výpočet</v>
      </c>
      <c r="C27" s="24"/>
      <c r="D27" s="30">
        <f t="shared" ref="D27:D45" si="4">IF(D2="kWh",0.0036,IF(D2="MWh",3.6,1))</f>
        <v>0.0036</v>
      </c>
      <c r="E27" s="30">
        <f t="shared" ref="E27:P27" si="1">$D27*IF(F2=0,0,(F2-E2))</f>
        <v>41.0184</v>
      </c>
      <c r="F27" s="30">
        <f t="shared" si="1"/>
        <v>29.8332</v>
      </c>
      <c r="G27" s="30">
        <f t="shared" si="1"/>
        <v>18.5292</v>
      </c>
      <c r="H27" s="30">
        <f t="shared" si="1"/>
        <v>16.2468</v>
      </c>
      <c r="I27" s="30">
        <f t="shared" si="1"/>
        <v>2.448</v>
      </c>
      <c r="J27" s="30">
        <f t="shared" si="1"/>
        <v>0.3708</v>
      </c>
      <c r="K27" s="30">
        <f t="shared" si="1"/>
        <v>0.1116</v>
      </c>
      <c r="L27" s="30">
        <f t="shared" si="1"/>
        <v>0</v>
      </c>
      <c r="M27" s="30">
        <f t="shared" si="1"/>
        <v>0</v>
      </c>
      <c r="N27" s="30">
        <f t="shared" si="1"/>
        <v>0</v>
      </c>
      <c r="O27" s="30">
        <f t="shared" si="1"/>
        <v>0</v>
      </c>
      <c r="P27" s="30">
        <f t="shared" si="1"/>
        <v>0</v>
      </c>
      <c r="Q27" s="31">
        <f>ELEKTRO!Q51</f>
        <v>46204</v>
      </c>
      <c r="R27" s="11"/>
      <c r="S27" s="11"/>
      <c r="T27" s="11"/>
      <c r="U27" s="11"/>
      <c r="V27" s="11"/>
      <c r="W27" s="11"/>
      <c r="X27" s="11"/>
      <c r="Y27" s="11"/>
      <c r="Z27" s="11"/>
    </row>
    <row r="28" ht="13.5" customHeight="1">
      <c r="A28" s="16" t="str">
        <f t="shared" si="2"/>
        <v>T_A2J</v>
      </c>
      <c r="B28" s="16" t="str">
        <f t="shared" si="3"/>
        <v>výpočet</v>
      </c>
      <c r="C28" s="24"/>
      <c r="D28" s="30">
        <f t="shared" si="4"/>
        <v>0.0036</v>
      </c>
      <c r="E28" s="30">
        <f t="shared" ref="E28:P28" si="5">$D28*IF(F3=0,0,(F3-E3))</f>
        <v>15.4044</v>
      </c>
      <c r="F28" s="30">
        <f t="shared" si="5"/>
        <v>11.232</v>
      </c>
      <c r="G28" s="30">
        <f t="shared" si="5"/>
        <v>6.8256</v>
      </c>
      <c r="H28" s="30">
        <f t="shared" si="5"/>
        <v>5.0184</v>
      </c>
      <c r="I28" s="30">
        <f t="shared" si="5"/>
        <v>0.7524</v>
      </c>
      <c r="J28" s="30">
        <f t="shared" si="5"/>
        <v>0.1548</v>
      </c>
      <c r="K28" s="30">
        <f t="shared" si="5"/>
        <v>0.0288</v>
      </c>
      <c r="L28" s="30">
        <f t="shared" si="5"/>
        <v>0</v>
      </c>
      <c r="M28" s="30">
        <f t="shared" si="5"/>
        <v>0</v>
      </c>
      <c r="N28" s="30">
        <f t="shared" si="5"/>
        <v>0</v>
      </c>
      <c r="O28" s="30">
        <f t="shared" si="5"/>
        <v>0</v>
      </c>
      <c r="P28" s="30">
        <f t="shared" si="5"/>
        <v>0</v>
      </c>
      <c r="Q28" s="31">
        <f t="shared" ref="Q28:Q49" si="7">$Q$27</f>
        <v>46204</v>
      </c>
      <c r="R28" s="11"/>
      <c r="S28" s="11"/>
      <c r="T28" s="11"/>
      <c r="U28" s="11"/>
      <c r="V28" s="11"/>
      <c r="W28" s="11"/>
      <c r="X28" s="11"/>
      <c r="Y28" s="11"/>
      <c r="Z28" s="11"/>
    </row>
    <row r="29" ht="13.5" customHeight="1">
      <c r="A29" s="16" t="str">
        <f t="shared" si="2"/>
        <v>T_A3</v>
      </c>
      <c r="B29" s="16" t="str">
        <f t="shared" si="3"/>
        <v>GENERAL ARMY spol. s r. o.</v>
      </c>
      <c r="C29" s="24"/>
      <c r="D29" s="30">
        <f t="shared" si="4"/>
        <v>0.0036</v>
      </c>
      <c r="E29" s="30">
        <f t="shared" ref="E29:P29" si="6">$D29*IF(F4=0,0,(F4-E4))</f>
        <v>8.2764</v>
      </c>
      <c r="F29" s="30">
        <f t="shared" si="6"/>
        <v>5.9148</v>
      </c>
      <c r="G29" s="30">
        <f t="shared" si="6"/>
        <v>3.438</v>
      </c>
      <c r="H29" s="30">
        <f t="shared" si="6"/>
        <v>1.8396</v>
      </c>
      <c r="I29" s="30">
        <f t="shared" si="6"/>
        <v>0.234</v>
      </c>
      <c r="J29" s="30">
        <f t="shared" si="6"/>
        <v>0</v>
      </c>
      <c r="K29" s="30">
        <f t="shared" si="6"/>
        <v>0</v>
      </c>
      <c r="L29" s="30">
        <f t="shared" si="6"/>
        <v>0</v>
      </c>
      <c r="M29" s="30">
        <f t="shared" si="6"/>
        <v>0</v>
      </c>
      <c r="N29" s="30">
        <f t="shared" si="6"/>
        <v>0</v>
      </c>
      <c r="O29" s="30">
        <f t="shared" si="6"/>
        <v>0</v>
      </c>
      <c r="P29" s="30">
        <f t="shared" si="6"/>
        <v>0</v>
      </c>
      <c r="Q29" s="31">
        <f t="shared" si="7"/>
        <v>46204</v>
      </c>
      <c r="R29" s="11"/>
      <c r="S29" s="11"/>
      <c r="T29" s="11"/>
      <c r="U29" s="11"/>
      <c r="V29" s="11"/>
      <c r="W29" s="11"/>
      <c r="X29" s="11"/>
      <c r="Y29" s="11"/>
      <c r="Z29" s="11"/>
    </row>
    <row r="30" ht="13.5" customHeight="1">
      <c r="A30" s="16" t="str">
        <f t="shared" si="2"/>
        <v>T_A4</v>
      </c>
      <c r="B30" s="16" t="str">
        <f t="shared" si="3"/>
        <v>MEON EMS FM, s. r. o.</v>
      </c>
      <c r="C30" s="24"/>
      <c r="D30" s="30">
        <f t="shared" si="4"/>
        <v>0.0036</v>
      </c>
      <c r="E30" s="30">
        <f t="shared" ref="E30:P30" si="8">$D30*IF(F5=0,0,(F5-E5))</f>
        <v>8.9892</v>
      </c>
      <c r="F30" s="30">
        <f t="shared" si="8"/>
        <v>6.1164</v>
      </c>
      <c r="G30" s="30">
        <f t="shared" si="8"/>
        <v>2.5272</v>
      </c>
      <c r="H30" s="30">
        <f t="shared" si="8"/>
        <v>1.4832</v>
      </c>
      <c r="I30" s="30">
        <f t="shared" si="8"/>
        <v>0.1764</v>
      </c>
      <c r="J30" s="30">
        <f t="shared" si="8"/>
        <v>0.018</v>
      </c>
      <c r="K30" s="30">
        <f t="shared" si="8"/>
        <v>0.0144</v>
      </c>
      <c r="L30" s="30">
        <f t="shared" si="8"/>
        <v>0</v>
      </c>
      <c r="M30" s="30">
        <f t="shared" si="8"/>
        <v>0</v>
      </c>
      <c r="N30" s="30">
        <f t="shared" si="8"/>
        <v>0</v>
      </c>
      <c r="O30" s="30">
        <f t="shared" si="8"/>
        <v>0</v>
      </c>
      <c r="P30" s="30">
        <f t="shared" si="8"/>
        <v>0</v>
      </c>
      <c r="Q30" s="31">
        <f t="shared" si="7"/>
        <v>46204</v>
      </c>
      <c r="R30" s="11"/>
      <c r="S30" s="11"/>
      <c r="T30" s="11"/>
      <c r="U30" s="11"/>
      <c r="V30" s="11"/>
      <c r="W30" s="11"/>
      <c r="X30" s="11"/>
      <c r="Y30" s="11"/>
      <c r="Z30" s="11"/>
    </row>
    <row r="31" ht="13.5" customHeight="1">
      <c r="A31" s="16" t="str">
        <f t="shared" si="2"/>
        <v>T_B1</v>
      </c>
      <c r="B31" s="16" t="str">
        <f t="shared" si="3"/>
        <v>Moravec Enterprises s. r. o.</v>
      </c>
      <c r="C31" s="24"/>
      <c r="D31" s="30">
        <f t="shared" si="4"/>
        <v>0.0036</v>
      </c>
      <c r="E31" s="30">
        <f t="shared" ref="E31:P31" si="9">$D31*IF(F6=0,0,(F6-E6))</f>
        <v>0</v>
      </c>
      <c r="F31" s="30">
        <f t="shared" si="9"/>
        <v>0</v>
      </c>
      <c r="G31" s="30">
        <f t="shared" si="9"/>
        <v>0</v>
      </c>
      <c r="H31" s="30">
        <f t="shared" si="9"/>
        <v>0</v>
      </c>
      <c r="I31" s="30">
        <f t="shared" si="9"/>
        <v>0</v>
      </c>
      <c r="J31" s="30">
        <f t="shared" si="9"/>
        <v>0</v>
      </c>
      <c r="K31" s="30">
        <f t="shared" si="9"/>
        <v>0</v>
      </c>
      <c r="L31" s="30">
        <f t="shared" si="9"/>
        <v>0</v>
      </c>
      <c r="M31" s="30">
        <f t="shared" si="9"/>
        <v>0</v>
      </c>
      <c r="N31" s="30">
        <f t="shared" si="9"/>
        <v>0</v>
      </c>
      <c r="O31" s="30">
        <f t="shared" si="9"/>
        <v>0</v>
      </c>
      <c r="P31" s="30">
        <f t="shared" si="9"/>
        <v>0</v>
      </c>
      <c r="Q31" s="31">
        <f t="shared" si="7"/>
        <v>46204</v>
      </c>
      <c r="R31" s="11"/>
      <c r="S31" s="11"/>
      <c r="T31" s="11"/>
      <c r="U31" s="11"/>
      <c r="V31" s="11"/>
      <c r="W31" s="11"/>
      <c r="X31" s="11"/>
      <c r="Y31" s="11"/>
      <c r="Z31" s="11"/>
    </row>
    <row r="32" ht="13.5" customHeight="1">
      <c r="A32" s="16" t="str">
        <f t="shared" si="2"/>
        <v>T_B2</v>
      </c>
      <c r="B32" s="16" t="str">
        <f t="shared" si="3"/>
        <v>PTÁČEK-velkoobchod, a.s</v>
      </c>
      <c r="C32" s="24"/>
      <c r="D32" s="30">
        <f t="shared" si="4"/>
        <v>0.0036</v>
      </c>
      <c r="E32" s="30">
        <f t="shared" ref="E32:P32" si="10">$D32*IF(F7=0,0,(F7-E7))</f>
        <v>11.9736</v>
      </c>
      <c r="F32" s="30">
        <f t="shared" si="10"/>
        <v>10.206</v>
      </c>
      <c r="G32" s="30">
        <f t="shared" si="10"/>
        <v>6.732</v>
      </c>
      <c r="H32" s="30">
        <f t="shared" si="10"/>
        <v>6.2136</v>
      </c>
      <c r="I32" s="30">
        <f t="shared" si="10"/>
        <v>0.7776</v>
      </c>
      <c r="J32" s="30">
        <f t="shared" si="10"/>
        <v>0.1512</v>
      </c>
      <c r="K32" s="30">
        <f t="shared" si="10"/>
        <v>0</v>
      </c>
      <c r="L32" s="30">
        <f t="shared" si="10"/>
        <v>0</v>
      </c>
      <c r="M32" s="30">
        <f t="shared" si="10"/>
        <v>0</v>
      </c>
      <c r="N32" s="30">
        <f t="shared" si="10"/>
        <v>0</v>
      </c>
      <c r="O32" s="30">
        <f t="shared" si="10"/>
        <v>0</v>
      </c>
      <c r="P32" s="30">
        <f t="shared" si="10"/>
        <v>0</v>
      </c>
      <c r="Q32" s="31">
        <f t="shared" si="7"/>
        <v>46204</v>
      </c>
      <c r="R32" s="11"/>
      <c r="S32" s="11"/>
      <c r="T32" s="11"/>
      <c r="U32" s="11"/>
      <c r="V32" s="11"/>
      <c r="W32" s="11"/>
      <c r="X32" s="11"/>
      <c r="Y32" s="11"/>
      <c r="Z32" s="11"/>
    </row>
    <row r="33" ht="13.5" customHeight="1">
      <c r="A33" s="16" t="str">
        <f t="shared" si="2"/>
        <v>T_B3</v>
      </c>
      <c r="B33" s="16" t="str">
        <f t="shared" si="3"/>
        <v>Fitclub Cross Body MT s. r. o.</v>
      </c>
      <c r="C33" s="24"/>
      <c r="D33" s="30">
        <f t="shared" si="4"/>
        <v>0.0036</v>
      </c>
      <c r="E33" s="30">
        <f t="shared" ref="E33:P33" si="11">$D33*IF(F8=0,0,(F8-E8))</f>
        <v>7.9812</v>
      </c>
      <c r="F33" s="30">
        <f t="shared" si="11"/>
        <v>4.4676</v>
      </c>
      <c r="G33" s="30">
        <f t="shared" si="11"/>
        <v>0</v>
      </c>
      <c r="H33" s="30">
        <f t="shared" si="11"/>
        <v>0</v>
      </c>
      <c r="I33" s="30">
        <f t="shared" si="11"/>
        <v>0</v>
      </c>
      <c r="J33" s="30">
        <f t="shared" si="11"/>
        <v>0</v>
      </c>
      <c r="K33" s="30">
        <f t="shared" si="11"/>
        <v>0</v>
      </c>
      <c r="L33" s="30">
        <f t="shared" si="11"/>
        <v>0</v>
      </c>
      <c r="M33" s="30">
        <f t="shared" si="11"/>
        <v>0</v>
      </c>
      <c r="N33" s="30">
        <f t="shared" si="11"/>
        <v>0</v>
      </c>
      <c r="O33" s="30">
        <f t="shared" si="11"/>
        <v>0</v>
      </c>
      <c r="P33" s="30">
        <f t="shared" si="11"/>
        <v>0</v>
      </c>
      <c r="Q33" s="31">
        <f t="shared" si="7"/>
        <v>46204</v>
      </c>
      <c r="R33" s="11"/>
      <c r="S33" s="11"/>
      <c r="T33" s="11"/>
      <c r="U33" s="11"/>
      <c r="V33" s="11"/>
      <c r="W33" s="11"/>
      <c r="X33" s="11"/>
      <c r="Y33" s="11"/>
      <c r="Z33" s="11"/>
    </row>
    <row r="34" ht="13.5" customHeight="1">
      <c r="A34" s="16" t="str">
        <f t="shared" si="2"/>
        <v>T_B3A</v>
      </c>
      <c r="B34" s="16" t="str">
        <f t="shared" si="3"/>
        <v>Fitclub Cross Body MT s. r. o.</v>
      </c>
      <c r="C34" s="24"/>
      <c r="D34" s="30">
        <f t="shared" si="4"/>
        <v>0.0036</v>
      </c>
      <c r="E34" s="30">
        <f t="shared" ref="E34:P34" si="12">$D34*IF(F9=0,0,(F9-E9))</f>
        <v>2.4732</v>
      </c>
      <c r="F34" s="30">
        <f t="shared" si="12"/>
        <v>3.1752</v>
      </c>
      <c r="G34" s="30">
        <f t="shared" si="12"/>
        <v>0.1692</v>
      </c>
      <c r="H34" s="30">
        <f t="shared" si="12"/>
        <v>0.6552</v>
      </c>
      <c r="I34" s="30">
        <f t="shared" si="12"/>
        <v>0.0792</v>
      </c>
      <c r="J34" s="30">
        <f t="shared" si="12"/>
        <v>0.0144</v>
      </c>
      <c r="K34" s="30">
        <f t="shared" si="12"/>
        <v>0.0072</v>
      </c>
      <c r="L34" s="30">
        <f t="shared" si="12"/>
        <v>0</v>
      </c>
      <c r="M34" s="30">
        <f t="shared" si="12"/>
        <v>0</v>
      </c>
      <c r="N34" s="30">
        <f t="shared" si="12"/>
        <v>0</v>
      </c>
      <c r="O34" s="30">
        <f t="shared" si="12"/>
        <v>0</v>
      </c>
      <c r="P34" s="30">
        <f t="shared" si="12"/>
        <v>0</v>
      </c>
      <c r="Q34" s="31">
        <f t="shared" si="7"/>
        <v>46204</v>
      </c>
      <c r="R34" s="11"/>
      <c r="S34" s="11"/>
      <c r="T34" s="11"/>
      <c r="U34" s="11"/>
      <c r="V34" s="11"/>
      <c r="W34" s="11"/>
      <c r="X34" s="11"/>
      <c r="Y34" s="11"/>
      <c r="Z34" s="11"/>
    </row>
    <row r="35" ht="13.5" customHeight="1">
      <c r="A35" s="16" t="str">
        <f t="shared" si="2"/>
        <v>T_D1</v>
      </c>
      <c r="B35" s="16" t="str">
        <f t="shared" si="3"/>
        <v>TŠ JUST DANCE</v>
      </c>
      <c r="C35" s="24"/>
      <c r="D35" s="30">
        <f t="shared" si="4"/>
        <v>0.0036</v>
      </c>
      <c r="E35" s="30">
        <f t="shared" ref="E35:P35" si="13">$D35*IF(F10=0,0,(F10-E10))</f>
        <v>30.9528</v>
      </c>
      <c r="F35" s="30">
        <f t="shared" si="13"/>
        <v>24.7176</v>
      </c>
      <c r="G35" s="30">
        <f t="shared" si="13"/>
        <v>13.4568</v>
      </c>
      <c r="H35" s="30">
        <f t="shared" si="13"/>
        <v>12.0456</v>
      </c>
      <c r="I35" s="30">
        <f t="shared" si="13"/>
        <v>1.224</v>
      </c>
      <c r="J35" s="30">
        <f t="shared" si="13"/>
        <v>0.198</v>
      </c>
      <c r="K35" s="30">
        <f t="shared" si="13"/>
        <v>0.0648</v>
      </c>
      <c r="L35" s="30">
        <f t="shared" si="13"/>
        <v>0</v>
      </c>
      <c r="M35" s="30">
        <f t="shared" si="13"/>
        <v>0</v>
      </c>
      <c r="N35" s="30">
        <f t="shared" si="13"/>
        <v>0</v>
      </c>
      <c r="O35" s="30">
        <f t="shared" si="13"/>
        <v>0</v>
      </c>
      <c r="P35" s="30">
        <f t="shared" si="13"/>
        <v>0</v>
      </c>
      <c r="Q35" s="31">
        <f t="shared" si="7"/>
        <v>46204</v>
      </c>
      <c r="R35" s="11"/>
      <c r="S35" s="11"/>
      <c r="T35" s="11"/>
      <c r="U35" s="11"/>
      <c r="V35" s="11"/>
      <c r="W35" s="11"/>
      <c r="X35" s="11"/>
      <c r="Y35" s="11"/>
      <c r="Z35" s="11"/>
    </row>
    <row r="36" ht="13.5" customHeight="1">
      <c r="A36" s="16" t="str">
        <f t="shared" si="2"/>
        <v>T_F1</v>
      </c>
      <c r="B36" s="16" t="str">
        <f t="shared" si="3"/>
        <v>PELUS automation machines s.r.o.</v>
      </c>
      <c r="C36" s="24"/>
      <c r="D36" s="30">
        <f t="shared" si="4"/>
        <v>0.0036</v>
      </c>
      <c r="E36" s="30">
        <f t="shared" ref="E36:P36" si="14">$D36*IF(F11=0,0,(F11-E11))</f>
        <v>0</v>
      </c>
      <c r="F36" s="30">
        <f t="shared" si="14"/>
        <v>0</v>
      </c>
      <c r="G36" s="30">
        <f t="shared" si="14"/>
        <v>0</v>
      </c>
      <c r="H36" s="30">
        <f t="shared" si="14"/>
        <v>0</v>
      </c>
      <c r="I36" s="30">
        <f t="shared" si="14"/>
        <v>0</v>
      </c>
      <c r="J36" s="30">
        <f t="shared" si="14"/>
        <v>0</v>
      </c>
      <c r="K36" s="30">
        <f t="shared" si="14"/>
        <v>0</v>
      </c>
      <c r="L36" s="30">
        <f t="shared" si="14"/>
        <v>0</v>
      </c>
      <c r="M36" s="30">
        <f t="shared" si="14"/>
        <v>0</v>
      </c>
      <c r="N36" s="30">
        <f t="shared" si="14"/>
        <v>0</v>
      </c>
      <c r="O36" s="30">
        <f t="shared" si="14"/>
        <v>0</v>
      </c>
      <c r="P36" s="30">
        <f t="shared" si="14"/>
        <v>0</v>
      </c>
      <c r="Q36" s="31">
        <f t="shared" si="7"/>
        <v>46204</v>
      </c>
      <c r="R36" s="11"/>
      <c r="S36" s="11"/>
      <c r="T36" s="11"/>
      <c r="U36" s="11"/>
      <c r="V36" s="11"/>
      <c r="W36" s="11"/>
      <c r="X36" s="11"/>
      <c r="Y36" s="11"/>
      <c r="Z36" s="11"/>
    </row>
    <row r="37" ht="13.5" customHeight="1">
      <c r="A37" s="16" t="str">
        <f t="shared" si="2"/>
        <v>T_F2</v>
      </c>
      <c r="B37" s="16" t="str">
        <f t="shared" si="3"/>
        <v>PELUS automation machines s.r.o.</v>
      </c>
      <c r="C37" s="24"/>
      <c r="D37" s="30">
        <f t="shared" si="4"/>
        <v>0.0036</v>
      </c>
      <c r="E37" s="30">
        <f t="shared" ref="E37:P37" si="15">$D37*IF(F12=0,0,(F12-E12))</f>
        <v>0</v>
      </c>
      <c r="F37" s="30">
        <f t="shared" si="15"/>
        <v>0</v>
      </c>
      <c r="G37" s="30">
        <f t="shared" si="15"/>
        <v>0</v>
      </c>
      <c r="H37" s="30">
        <f t="shared" si="15"/>
        <v>0</v>
      </c>
      <c r="I37" s="30">
        <f t="shared" si="15"/>
        <v>0</v>
      </c>
      <c r="J37" s="30">
        <f t="shared" si="15"/>
        <v>0</v>
      </c>
      <c r="K37" s="30">
        <f t="shared" si="15"/>
        <v>0</v>
      </c>
      <c r="L37" s="30">
        <f t="shared" si="15"/>
        <v>0</v>
      </c>
      <c r="M37" s="30">
        <f t="shared" si="15"/>
        <v>0</v>
      </c>
      <c r="N37" s="30">
        <f t="shared" si="15"/>
        <v>0</v>
      </c>
      <c r="O37" s="30">
        <f t="shared" si="15"/>
        <v>0</v>
      </c>
      <c r="P37" s="30">
        <f t="shared" si="15"/>
        <v>0</v>
      </c>
      <c r="Q37" s="31">
        <f t="shared" si="7"/>
        <v>46204</v>
      </c>
      <c r="R37" s="11"/>
      <c r="S37" s="11"/>
      <c r="T37" s="11"/>
      <c r="U37" s="11"/>
      <c r="V37" s="11"/>
      <c r="W37" s="11"/>
      <c r="X37" s="11"/>
      <c r="Y37" s="11"/>
      <c r="Z37" s="11"/>
    </row>
    <row r="38" ht="13.5" customHeight="1">
      <c r="A38" s="16" t="str">
        <f t="shared" si="2"/>
        <v>T_O1</v>
      </c>
      <c r="B38" s="16" t="str">
        <f t="shared" si="3"/>
        <v>PTÁČEK-velkoobchod, a.s</v>
      </c>
      <c r="C38" s="24"/>
      <c r="D38" s="30">
        <f t="shared" si="4"/>
        <v>0.0036</v>
      </c>
      <c r="E38" s="30">
        <f t="shared" ref="E38:P38" si="16">$D38*IF(F13=0,0,(F13-E13))</f>
        <v>27.1188</v>
      </c>
      <c r="F38" s="30">
        <f t="shared" si="16"/>
        <v>20.0628</v>
      </c>
      <c r="G38" s="30">
        <f t="shared" si="16"/>
        <v>11.6676</v>
      </c>
      <c r="H38" s="30">
        <f t="shared" si="16"/>
        <v>8.0388</v>
      </c>
      <c r="I38" s="30">
        <f t="shared" si="16"/>
        <v>0.4356</v>
      </c>
      <c r="J38" s="30">
        <f t="shared" si="16"/>
        <v>0.0288</v>
      </c>
      <c r="K38" s="30">
        <f t="shared" si="16"/>
        <v>0</v>
      </c>
      <c r="L38" s="30">
        <f t="shared" si="16"/>
        <v>0</v>
      </c>
      <c r="M38" s="30">
        <f t="shared" si="16"/>
        <v>0</v>
      </c>
      <c r="N38" s="30">
        <f t="shared" si="16"/>
        <v>0</v>
      </c>
      <c r="O38" s="30">
        <f t="shared" si="16"/>
        <v>0</v>
      </c>
      <c r="P38" s="30">
        <f t="shared" si="16"/>
        <v>0</v>
      </c>
      <c r="Q38" s="31">
        <f t="shared" si="7"/>
        <v>46204</v>
      </c>
      <c r="R38" s="11"/>
      <c r="S38" s="11"/>
      <c r="T38" s="11"/>
      <c r="U38" s="11"/>
      <c r="V38" s="11"/>
      <c r="W38" s="11"/>
      <c r="X38" s="11"/>
      <c r="Y38" s="11"/>
      <c r="Z38" s="11"/>
    </row>
    <row r="39" ht="13.5" customHeight="1">
      <c r="A39" s="16" t="str">
        <f t="shared" si="2"/>
        <v>T_O2</v>
      </c>
      <c r="B39" s="16" t="str">
        <f t="shared" si="3"/>
        <v>TENAUR, s. r. o.</v>
      </c>
      <c r="C39" s="17" t="str">
        <f>C14</f>
        <v>TENAUR/LOGIC</v>
      </c>
      <c r="D39" s="30">
        <f t="shared" si="4"/>
        <v>0.0036</v>
      </c>
      <c r="E39" s="30">
        <f t="shared" ref="E39:P39" si="17">$D39*IF(F14=0,0,(F14-E14))</f>
        <v>17.7948</v>
      </c>
      <c r="F39" s="30">
        <f t="shared" si="17"/>
        <v>13.4316</v>
      </c>
      <c r="G39" s="30">
        <f t="shared" si="17"/>
        <v>6.6816</v>
      </c>
      <c r="H39" s="30">
        <f t="shared" si="17"/>
        <v>5.2956</v>
      </c>
      <c r="I39" s="30">
        <f t="shared" si="17"/>
        <v>0.6624</v>
      </c>
      <c r="J39" s="30">
        <f t="shared" si="17"/>
        <v>0.054</v>
      </c>
      <c r="K39" s="30">
        <f t="shared" si="17"/>
        <v>0.0288</v>
      </c>
      <c r="L39" s="30">
        <f t="shared" si="17"/>
        <v>0</v>
      </c>
      <c r="M39" s="30">
        <f t="shared" si="17"/>
        <v>0</v>
      </c>
      <c r="N39" s="30">
        <f t="shared" si="17"/>
        <v>0</v>
      </c>
      <c r="O39" s="30">
        <f t="shared" si="17"/>
        <v>0</v>
      </c>
      <c r="P39" s="30">
        <f t="shared" si="17"/>
        <v>0</v>
      </c>
      <c r="Q39" s="31">
        <f t="shared" si="7"/>
        <v>46204</v>
      </c>
      <c r="R39" s="11"/>
      <c r="S39" s="11"/>
      <c r="T39" s="11"/>
      <c r="U39" s="11"/>
      <c r="V39" s="11"/>
      <c r="W39" s="11"/>
      <c r="X39" s="11"/>
      <c r="Y39" s="11"/>
      <c r="Z39" s="11"/>
    </row>
    <row r="40" ht="13.5" customHeight="1">
      <c r="A40" s="16" t="str">
        <f t="shared" si="2"/>
        <v>T_O3</v>
      </c>
      <c r="B40" s="16" t="str">
        <f t="shared" si="3"/>
        <v>Studio Proměna</v>
      </c>
      <c r="C40" s="24"/>
      <c r="D40" s="30">
        <f t="shared" si="4"/>
        <v>0.0036</v>
      </c>
      <c r="E40" s="30">
        <f t="shared" ref="E40:P40" si="18">$D40*IF(F15=0,0,(F15-E15))</f>
        <v>21.8052</v>
      </c>
      <c r="F40" s="30">
        <f t="shared" si="18"/>
        <v>9.8316</v>
      </c>
      <c r="G40" s="30">
        <f t="shared" si="18"/>
        <v>1.3104</v>
      </c>
      <c r="H40" s="30">
        <f t="shared" si="18"/>
        <v>0.4536</v>
      </c>
      <c r="I40" s="30">
        <f t="shared" si="18"/>
        <v>0.0072</v>
      </c>
      <c r="J40" s="30">
        <f t="shared" si="18"/>
        <v>0</v>
      </c>
      <c r="K40" s="30">
        <f t="shared" si="18"/>
        <v>0</v>
      </c>
      <c r="L40" s="30">
        <f t="shared" si="18"/>
        <v>0</v>
      </c>
      <c r="M40" s="30">
        <f t="shared" si="18"/>
        <v>0</v>
      </c>
      <c r="N40" s="30">
        <f t="shared" si="18"/>
        <v>0</v>
      </c>
      <c r="O40" s="30">
        <f t="shared" si="18"/>
        <v>0</v>
      </c>
      <c r="P40" s="30">
        <f t="shared" si="18"/>
        <v>0</v>
      </c>
      <c r="Q40" s="31">
        <f t="shared" si="7"/>
        <v>46204</v>
      </c>
      <c r="R40" s="11"/>
      <c r="S40" s="11"/>
      <c r="T40" s="11"/>
      <c r="U40" s="11"/>
      <c r="V40" s="11"/>
      <c r="W40" s="11"/>
      <c r="X40" s="11"/>
      <c r="Y40" s="11"/>
      <c r="Z40" s="11"/>
    </row>
    <row r="41" ht="13.5" customHeight="1">
      <c r="A41" s="16" t="str">
        <f t="shared" si="2"/>
        <v>T_O4</v>
      </c>
      <c r="B41" s="16" t="str">
        <f t="shared" si="3"/>
        <v>Ing. Roman CHAMRAD - SHIVA SHOP</v>
      </c>
      <c r="C41" s="24"/>
      <c r="D41" s="30">
        <f t="shared" si="4"/>
        <v>0.0036</v>
      </c>
      <c r="E41" s="30">
        <f t="shared" ref="E41:P41" si="19">$D41*IF(F16=0,0,(F16-E16))</f>
        <v>10.3464</v>
      </c>
      <c r="F41" s="30">
        <f t="shared" si="19"/>
        <v>7.3476</v>
      </c>
      <c r="G41" s="30">
        <f t="shared" si="19"/>
        <v>5.2416</v>
      </c>
      <c r="H41" s="30">
        <f t="shared" si="19"/>
        <v>3.7368</v>
      </c>
      <c r="I41" s="30">
        <f t="shared" si="19"/>
        <v>0.5328</v>
      </c>
      <c r="J41" s="30">
        <f t="shared" si="19"/>
        <v>0.0648</v>
      </c>
      <c r="K41" s="30">
        <f t="shared" si="19"/>
        <v>0.0108</v>
      </c>
      <c r="L41" s="30">
        <f t="shared" si="19"/>
        <v>0</v>
      </c>
      <c r="M41" s="30">
        <f t="shared" si="19"/>
        <v>0</v>
      </c>
      <c r="N41" s="30">
        <f t="shared" si="19"/>
        <v>0</v>
      </c>
      <c r="O41" s="30">
        <f t="shared" si="19"/>
        <v>0</v>
      </c>
      <c r="P41" s="30">
        <f t="shared" si="19"/>
        <v>0</v>
      </c>
      <c r="Q41" s="31">
        <f t="shared" si="7"/>
        <v>46204</v>
      </c>
      <c r="R41" s="11"/>
      <c r="S41" s="11"/>
      <c r="T41" s="11"/>
      <c r="U41" s="11"/>
      <c r="V41" s="11"/>
      <c r="W41" s="11"/>
      <c r="X41" s="11"/>
      <c r="Y41" s="11"/>
      <c r="Z41" s="11"/>
    </row>
    <row r="42" ht="13.5" customHeight="1">
      <c r="A42" s="16" t="str">
        <f t="shared" si="2"/>
        <v>T_O5</v>
      </c>
      <c r="B42" s="16" t="str">
        <f t="shared" si="3"/>
        <v>Outdoor Colours, s. r. o.</v>
      </c>
      <c r="C42" s="24"/>
      <c r="D42" s="30">
        <f t="shared" si="4"/>
        <v>0.0036</v>
      </c>
      <c r="E42" s="30">
        <f t="shared" ref="E42:P42" si="20">$D42*IF(F17=0,0,(F17-E17))</f>
        <v>6.912</v>
      </c>
      <c r="F42" s="30">
        <f t="shared" si="20"/>
        <v>4.8996</v>
      </c>
      <c r="G42" s="30">
        <f t="shared" si="20"/>
        <v>2.9016</v>
      </c>
      <c r="H42" s="30">
        <f t="shared" si="20"/>
        <v>2.6784</v>
      </c>
      <c r="I42" s="30">
        <f t="shared" si="20"/>
        <v>0.3168</v>
      </c>
      <c r="J42" s="30">
        <f t="shared" si="20"/>
        <v>0.018</v>
      </c>
      <c r="K42" s="30">
        <f t="shared" si="20"/>
        <v>0</v>
      </c>
      <c r="L42" s="30">
        <f t="shared" si="20"/>
        <v>0</v>
      </c>
      <c r="M42" s="30">
        <f t="shared" si="20"/>
        <v>0</v>
      </c>
      <c r="N42" s="30">
        <f t="shared" si="20"/>
        <v>0</v>
      </c>
      <c r="O42" s="30">
        <f t="shared" si="20"/>
        <v>0</v>
      </c>
      <c r="P42" s="30">
        <f t="shared" si="20"/>
        <v>0</v>
      </c>
      <c r="Q42" s="31">
        <f t="shared" si="7"/>
        <v>46204</v>
      </c>
      <c r="R42" s="11"/>
      <c r="S42" s="11"/>
      <c r="T42" s="11"/>
      <c r="U42" s="11"/>
      <c r="V42" s="11"/>
      <c r="W42" s="11"/>
      <c r="X42" s="11"/>
      <c r="Y42" s="11"/>
      <c r="Z42" s="11"/>
    </row>
    <row r="43" ht="13.5" customHeight="1">
      <c r="A43" s="16" t="str">
        <f t="shared" si="2"/>
        <v>T_O6</v>
      </c>
      <c r="B43" s="16" t="str">
        <f t="shared" si="3"/>
        <v>výpočet</v>
      </c>
      <c r="C43" s="24"/>
      <c r="D43" s="30">
        <f t="shared" si="4"/>
        <v>0.0036</v>
      </c>
      <c r="E43" s="30">
        <f t="shared" ref="E43:P43" si="21">$D43*IF(F18=0,0,(F18-E18))</f>
        <v>16.56</v>
      </c>
      <c r="F43" s="30">
        <f t="shared" si="21"/>
        <v>10.4544</v>
      </c>
      <c r="G43" s="30">
        <f t="shared" si="21"/>
        <v>4.95</v>
      </c>
      <c r="H43" s="30">
        <f t="shared" si="21"/>
        <v>4.158</v>
      </c>
      <c r="I43" s="30">
        <f t="shared" si="21"/>
        <v>0.5652</v>
      </c>
      <c r="J43" s="30">
        <f t="shared" si="21"/>
        <v>0.0756</v>
      </c>
      <c r="K43" s="30">
        <f t="shared" si="21"/>
        <v>0</v>
      </c>
      <c r="L43" s="30">
        <f t="shared" si="21"/>
        <v>0</v>
      </c>
      <c r="M43" s="30">
        <f t="shared" si="21"/>
        <v>0</v>
      </c>
      <c r="N43" s="30">
        <f t="shared" si="21"/>
        <v>0</v>
      </c>
      <c r="O43" s="30">
        <f t="shared" si="21"/>
        <v>0</v>
      </c>
      <c r="P43" s="30">
        <f t="shared" si="21"/>
        <v>0</v>
      </c>
      <c r="Q43" s="31">
        <f t="shared" si="7"/>
        <v>46204</v>
      </c>
      <c r="R43" s="11"/>
      <c r="S43" s="11"/>
      <c r="T43" s="11"/>
      <c r="U43" s="11"/>
      <c r="V43" s="11"/>
      <c r="W43" s="11"/>
      <c r="X43" s="11"/>
      <c r="Y43" s="11"/>
      <c r="Z43" s="11"/>
    </row>
    <row r="44" ht="13.5" customHeight="1">
      <c r="A44" s="16" t="str">
        <f t="shared" si="2"/>
        <v>T_S1E1</v>
      </c>
      <c r="B44" s="16" t="str">
        <f t="shared" si="3"/>
        <v>PTÁČEK-velkoobchod, a.s</v>
      </c>
      <c r="C44" s="24"/>
      <c r="D44" s="30">
        <f t="shared" si="4"/>
        <v>0.0036</v>
      </c>
      <c r="E44" s="30">
        <f t="shared" ref="E44:P44" si="22">$D44*IF(F19=0,0,(F19-E19))</f>
        <v>4.9392</v>
      </c>
      <c r="F44" s="30">
        <f t="shared" si="22"/>
        <v>4.0104</v>
      </c>
      <c r="G44" s="30">
        <f t="shared" si="22"/>
        <v>2.8188</v>
      </c>
      <c r="H44" s="30">
        <f t="shared" si="22"/>
        <v>2.574</v>
      </c>
      <c r="I44" s="30">
        <f t="shared" si="22"/>
        <v>0.234</v>
      </c>
      <c r="J44" s="30">
        <f t="shared" si="22"/>
        <v>0.0396</v>
      </c>
      <c r="K44" s="30">
        <f t="shared" si="22"/>
        <v>0</v>
      </c>
      <c r="L44" s="30">
        <f t="shared" si="22"/>
        <v>0</v>
      </c>
      <c r="M44" s="30">
        <f t="shared" si="22"/>
        <v>0</v>
      </c>
      <c r="N44" s="30">
        <f t="shared" si="22"/>
        <v>0</v>
      </c>
      <c r="O44" s="30">
        <f t="shared" si="22"/>
        <v>0</v>
      </c>
      <c r="P44" s="30">
        <f t="shared" si="22"/>
        <v>0</v>
      </c>
      <c r="Q44" s="31">
        <f t="shared" si="7"/>
        <v>46204</v>
      </c>
      <c r="R44" s="11"/>
      <c r="S44" s="11"/>
      <c r="T44" s="11"/>
      <c r="U44" s="11"/>
      <c r="V44" s="11"/>
      <c r="W44" s="11"/>
      <c r="X44" s="11"/>
      <c r="Y44" s="11"/>
      <c r="Z44" s="11"/>
    </row>
    <row r="45" ht="13.5" customHeight="1">
      <c r="A45" s="16" t="str">
        <f t="shared" si="2"/>
        <v>T_T1</v>
      </c>
      <c r="B45" s="16" t="str">
        <f t="shared" si="3"/>
        <v>TENAUR, s. r. o.</v>
      </c>
      <c r="C45" s="24"/>
      <c r="D45" s="30">
        <f t="shared" si="4"/>
        <v>0.0036</v>
      </c>
      <c r="E45" s="30">
        <f t="shared" ref="E45:P45" si="23">$D45*IF(F20=0,0,(F20-E20))</f>
        <v>0</v>
      </c>
      <c r="F45" s="30">
        <f t="shared" si="23"/>
        <v>0</v>
      </c>
      <c r="G45" s="30">
        <f t="shared" si="23"/>
        <v>0</v>
      </c>
      <c r="H45" s="30">
        <f t="shared" si="23"/>
        <v>0</v>
      </c>
      <c r="I45" s="30">
        <f t="shared" si="23"/>
        <v>0</v>
      </c>
      <c r="J45" s="30">
        <f t="shared" si="23"/>
        <v>0</v>
      </c>
      <c r="K45" s="30">
        <f t="shared" si="23"/>
        <v>0</v>
      </c>
      <c r="L45" s="30">
        <f t="shared" si="23"/>
        <v>0</v>
      </c>
      <c r="M45" s="30">
        <f t="shared" si="23"/>
        <v>0</v>
      </c>
      <c r="N45" s="30">
        <f t="shared" si="23"/>
        <v>0</v>
      </c>
      <c r="O45" s="30">
        <f t="shared" si="23"/>
        <v>0</v>
      </c>
      <c r="P45" s="30">
        <f t="shared" si="23"/>
        <v>0</v>
      </c>
      <c r="Q45" s="31">
        <f t="shared" si="7"/>
        <v>46204</v>
      </c>
      <c r="R45" s="11"/>
      <c r="S45" s="11"/>
      <c r="T45" s="11"/>
      <c r="U45" s="11"/>
      <c r="V45" s="11"/>
      <c r="W45" s="11"/>
      <c r="X45" s="11"/>
      <c r="Y45" s="11"/>
      <c r="Z45" s="11"/>
    </row>
    <row r="46" ht="13.5" customHeight="1">
      <c r="A46" s="16" t="str">
        <f t="shared" si="2"/>
        <v>T_M1</v>
      </c>
      <c r="B46" s="16" t="str">
        <f t="shared" si="3"/>
        <v>TENAUR, s. r. o.</v>
      </c>
      <c r="C46" s="24"/>
      <c r="D46" s="30">
        <f t="shared" ref="D46:D47" si="25">IF(D23="kWh",0.0036,IF(D23="MWh",3.6,1))</f>
        <v>1</v>
      </c>
      <c r="E46" s="30">
        <f t="shared" ref="E46:P46" si="24">$D46*IF(F21=0,0,(F21-E21))</f>
        <v>0</v>
      </c>
      <c r="F46" s="30">
        <f t="shared" si="24"/>
        <v>0</v>
      </c>
      <c r="G46" s="30">
        <f t="shared" si="24"/>
        <v>0</v>
      </c>
      <c r="H46" s="30">
        <f t="shared" si="24"/>
        <v>0</v>
      </c>
      <c r="I46" s="30">
        <f t="shared" si="24"/>
        <v>0</v>
      </c>
      <c r="J46" s="30">
        <f t="shared" si="24"/>
        <v>0</v>
      </c>
      <c r="K46" s="30">
        <f t="shared" si="24"/>
        <v>0</v>
      </c>
      <c r="L46" s="30">
        <f t="shared" si="24"/>
        <v>0</v>
      </c>
      <c r="M46" s="30">
        <f t="shared" si="24"/>
        <v>0</v>
      </c>
      <c r="N46" s="30">
        <f t="shared" si="24"/>
        <v>0</v>
      </c>
      <c r="O46" s="30">
        <f t="shared" si="24"/>
        <v>0</v>
      </c>
      <c r="P46" s="30">
        <f t="shared" si="24"/>
        <v>0</v>
      </c>
      <c r="Q46" s="31">
        <f t="shared" si="7"/>
        <v>46204</v>
      </c>
      <c r="R46" s="11"/>
      <c r="S46" s="11"/>
      <c r="T46" s="11"/>
      <c r="U46" s="11"/>
      <c r="V46" s="11"/>
      <c r="W46" s="11"/>
      <c r="X46" s="11"/>
      <c r="Y46" s="11"/>
      <c r="Z46" s="11"/>
    </row>
    <row r="47" ht="13.5" customHeight="1">
      <c r="A47" s="16" t="str">
        <f t="shared" si="2"/>
        <v>T_L1</v>
      </c>
      <c r="B47" s="16" t="str">
        <f>$B22</f>
        <v>LogicVision s. r. o.</v>
      </c>
      <c r="C47" s="24"/>
      <c r="D47" s="30">
        <f t="shared" si="25"/>
        <v>1</v>
      </c>
      <c r="E47" s="30">
        <f t="shared" ref="E47:P47" si="26">$D47*IF(F22=0,0,(F22-E22))</f>
        <v>29</v>
      </c>
      <c r="F47" s="30">
        <f t="shared" si="26"/>
        <v>21</v>
      </c>
      <c r="G47" s="30">
        <f t="shared" si="26"/>
        <v>10</v>
      </c>
      <c r="H47" s="30">
        <f t="shared" si="26"/>
        <v>8</v>
      </c>
      <c r="I47" s="30">
        <f t="shared" si="26"/>
        <v>2</v>
      </c>
      <c r="J47" s="30">
        <f t="shared" si="26"/>
        <v>0</v>
      </c>
      <c r="K47" s="30">
        <f t="shared" si="26"/>
        <v>0</v>
      </c>
      <c r="L47" s="30">
        <f t="shared" si="26"/>
        <v>0</v>
      </c>
      <c r="M47" s="30">
        <f t="shared" si="26"/>
        <v>0</v>
      </c>
      <c r="N47" s="30">
        <f t="shared" si="26"/>
        <v>0</v>
      </c>
      <c r="O47" s="30">
        <f t="shared" si="26"/>
        <v>0</v>
      </c>
      <c r="P47" s="30">
        <f t="shared" si="26"/>
        <v>0</v>
      </c>
      <c r="Q47" s="31">
        <f t="shared" si="7"/>
        <v>46204</v>
      </c>
      <c r="R47" s="11"/>
      <c r="S47" s="11"/>
      <c r="T47" s="11"/>
      <c r="U47" s="11"/>
      <c r="V47" s="11"/>
      <c r="W47" s="11"/>
      <c r="X47" s="11"/>
      <c r="Y47" s="11"/>
      <c r="Z47" s="11"/>
    </row>
    <row r="48" ht="13.5" customHeight="1">
      <c r="A48" s="16" t="str">
        <f t="shared" si="2"/>
        <v>T_TUV</v>
      </c>
      <c r="B48" s="16" t="str">
        <f t="shared" ref="B48:B49" si="28">B23</f>
        <v>výpočet</v>
      </c>
      <c r="C48" s="24"/>
      <c r="D48" s="30">
        <f t="shared" ref="D48:D49" si="29">IF(D23="kWh",0.0036,IF(D23="MWh",3.6,1))</f>
        <v>1</v>
      </c>
      <c r="E48" s="30">
        <f t="shared" ref="E48:P48" si="27">$D48*IF(F23=0,0,(F23-E23))</f>
        <v>7</v>
      </c>
      <c r="F48" s="30">
        <f t="shared" si="27"/>
        <v>7</v>
      </c>
      <c r="G48" s="30">
        <f t="shared" si="27"/>
        <v>7</v>
      </c>
      <c r="H48" s="30">
        <f t="shared" si="27"/>
        <v>6</v>
      </c>
      <c r="I48" s="30">
        <f t="shared" si="27"/>
        <v>8</v>
      </c>
      <c r="J48" s="30">
        <f t="shared" si="27"/>
        <v>4.336</v>
      </c>
      <c r="K48" s="30">
        <f t="shared" si="27"/>
        <v>2.664</v>
      </c>
      <c r="L48" s="30">
        <f t="shared" si="27"/>
        <v>0</v>
      </c>
      <c r="M48" s="30">
        <f t="shared" si="27"/>
        <v>0</v>
      </c>
      <c r="N48" s="30">
        <f t="shared" si="27"/>
        <v>0</v>
      </c>
      <c r="O48" s="30">
        <f t="shared" si="27"/>
        <v>0</v>
      </c>
      <c r="P48" s="30">
        <f t="shared" si="27"/>
        <v>0</v>
      </c>
      <c r="Q48" s="31">
        <f t="shared" si="7"/>
        <v>46204</v>
      </c>
      <c r="R48" s="11"/>
      <c r="S48" s="11"/>
      <c r="T48" s="11"/>
      <c r="U48" s="11"/>
      <c r="V48" s="11"/>
      <c r="W48" s="11"/>
      <c r="X48" s="11"/>
      <c r="Y48" s="11"/>
      <c r="Z48" s="11"/>
    </row>
    <row r="49" ht="13.5" customHeight="1">
      <c r="A49" s="16" t="str">
        <f t="shared" si="2"/>
        <v>T_CELKEM</v>
      </c>
      <c r="B49" s="16" t="str">
        <f t="shared" si="28"/>
        <v>CSE</v>
      </c>
      <c r="C49" s="24"/>
      <c r="D49" s="30">
        <f t="shared" si="29"/>
        <v>1</v>
      </c>
      <c r="E49" s="30">
        <f t="shared" ref="E49:P49" si="30">$D49*IF(F24=0,0,(F24-E24))</f>
        <v>276.802</v>
      </c>
      <c r="F49" s="30">
        <f t="shared" si="30"/>
        <v>199.067</v>
      </c>
      <c r="G49" s="30">
        <f t="shared" si="30"/>
        <v>110.21</v>
      </c>
      <c r="H49" s="30">
        <f t="shared" si="30"/>
        <v>90</v>
      </c>
      <c r="I49" s="30">
        <f t="shared" si="30"/>
        <v>19</v>
      </c>
      <c r="J49" s="30">
        <f t="shared" si="30"/>
        <v>9</v>
      </c>
      <c r="K49" s="30">
        <f t="shared" si="30"/>
        <v>6</v>
      </c>
      <c r="L49" s="30">
        <f t="shared" si="30"/>
        <v>0</v>
      </c>
      <c r="M49" s="30">
        <f t="shared" si="30"/>
        <v>0</v>
      </c>
      <c r="N49" s="30">
        <f t="shared" si="30"/>
        <v>0</v>
      </c>
      <c r="O49" s="30">
        <f t="shared" si="30"/>
        <v>0</v>
      </c>
      <c r="P49" s="30">
        <f t="shared" si="30"/>
        <v>0</v>
      </c>
      <c r="Q49" s="31">
        <f t="shared" si="7"/>
        <v>46204</v>
      </c>
      <c r="R49" s="11"/>
      <c r="S49" s="11"/>
      <c r="T49" s="11"/>
      <c r="U49" s="11"/>
      <c r="V49" s="11"/>
      <c r="W49" s="11"/>
      <c r="X49" s="11"/>
      <c r="Y49" s="11"/>
      <c r="Z49" s="11"/>
    </row>
    <row r="50" ht="13.5" customHeight="1">
      <c r="A50" s="32"/>
      <c r="B50" s="32"/>
      <c r="C50" s="33"/>
      <c r="D50" s="33"/>
      <c r="E50" s="3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1"/>
      <c r="S50" s="11"/>
      <c r="T50" s="11"/>
      <c r="U50" s="11"/>
      <c r="V50" s="11"/>
      <c r="W50" s="11"/>
      <c r="X50" s="11"/>
      <c r="Y50" s="11"/>
      <c r="Z50" s="11"/>
    </row>
    <row r="51" ht="13.5" customHeight="1">
      <c r="A51" s="35" t="s">
        <v>185</v>
      </c>
      <c r="B51" s="36"/>
      <c r="C51" s="33"/>
      <c r="D51" s="33"/>
      <c r="E51" s="54">
        <f t="shared" ref="E51:P51" si="31">SUM(E27:E48)</f>
        <v>268.5456</v>
      </c>
      <c r="F51" s="55">
        <f t="shared" si="31"/>
        <v>193.7008</v>
      </c>
      <c r="G51" s="55">
        <f t="shared" si="31"/>
        <v>104.2496</v>
      </c>
      <c r="H51" s="55">
        <f t="shared" si="31"/>
        <v>84.4376</v>
      </c>
      <c r="I51" s="55">
        <f t="shared" si="31"/>
        <v>18.4456</v>
      </c>
      <c r="J51" s="54">
        <f t="shared" si="31"/>
        <v>5.524</v>
      </c>
      <c r="K51" s="55">
        <f t="shared" si="31"/>
        <v>2.9304</v>
      </c>
      <c r="L51" s="55">
        <f t="shared" si="31"/>
        <v>0</v>
      </c>
      <c r="M51" s="55">
        <f t="shared" si="31"/>
        <v>0</v>
      </c>
      <c r="N51" s="55">
        <f t="shared" si="31"/>
        <v>0</v>
      </c>
      <c r="O51" s="55">
        <f t="shared" si="31"/>
        <v>0</v>
      </c>
      <c r="P51" s="55">
        <f t="shared" si="31"/>
        <v>0</v>
      </c>
      <c r="Q51" s="37"/>
      <c r="R51" s="11"/>
      <c r="S51" s="11"/>
      <c r="T51" s="11"/>
      <c r="U51" s="11"/>
      <c r="V51" s="11"/>
      <c r="W51" s="11"/>
      <c r="X51" s="11"/>
      <c r="Y51" s="11"/>
      <c r="Z51" s="11"/>
    </row>
    <row r="52" ht="13.5" customHeight="1">
      <c r="A52" s="38"/>
      <c r="B52" s="36"/>
      <c r="C52" s="33"/>
      <c r="D52" s="33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11"/>
      <c r="S52" s="11"/>
      <c r="T52" s="11"/>
      <c r="U52" s="11"/>
      <c r="V52" s="11"/>
      <c r="W52" s="11"/>
      <c r="X52" s="11"/>
      <c r="Y52" s="11"/>
      <c r="Z52" s="11"/>
    </row>
    <row r="53" ht="13.5" customHeight="1">
      <c r="A53" s="35" t="s">
        <v>213</v>
      </c>
      <c r="B53" s="36"/>
      <c r="C53" s="33"/>
      <c r="D53" s="33"/>
      <c r="E53" s="54">
        <f t="shared" ref="E53:P53" si="32">E51</f>
        <v>268.5456</v>
      </c>
      <c r="F53" s="55">
        <f t="shared" si="32"/>
        <v>193.7008</v>
      </c>
      <c r="G53" s="55">
        <f t="shared" si="32"/>
        <v>104.2496</v>
      </c>
      <c r="H53" s="55">
        <f t="shared" si="32"/>
        <v>84.4376</v>
      </c>
      <c r="I53" s="55">
        <f t="shared" si="32"/>
        <v>18.4456</v>
      </c>
      <c r="J53" s="54">
        <f t="shared" si="32"/>
        <v>5.524</v>
      </c>
      <c r="K53" s="55">
        <f t="shared" si="32"/>
        <v>2.9304</v>
      </c>
      <c r="L53" s="55">
        <f t="shared" si="32"/>
        <v>0</v>
      </c>
      <c r="M53" s="55">
        <f t="shared" si="32"/>
        <v>0</v>
      </c>
      <c r="N53" s="55">
        <f t="shared" si="32"/>
        <v>0</v>
      </c>
      <c r="O53" s="55">
        <f t="shared" si="32"/>
        <v>0</v>
      </c>
      <c r="P53" s="55">
        <f t="shared" si="32"/>
        <v>0</v>
      </c>
      <c r="Q53" s="56"/>
      <c r="R53" s="11"/>
      <c r="S53" s="11"/>
      <c r="T53" s="11"/>
      <c r="U53" s="11"/>
      <c r="V53" s="11"/>
      <c r="W53" s="11"/>
      <c r="X53" s="11"/>
      <c r="Y53" s="11"/>
      <c r="Z53" s="11"/>
    </row>
    <row r="54" ht="13.5" customHeight="1">
      <c r="A54" s="35" t="s">
        <v>214</v>
      </c>
      <c r="B54" s="36"/>
      <c r="C54" s="33"/>
      <c r="D54" s="33"/>
      <c r="E54" s="57">
        <v>275.0</v>
      </c>
      <c r="F54" s="57">
        <v>204.0</v>
      </c>
      <c r="G54" s="57">
        <v>115.0</v>
      </c>
      <c r="H54" s="57">
        <v>94.0</v>
      </c>
      <c r="I54" s="58">
        <v>17.0</v>
      </c>
      <c r="J54" s="57">
        <v>9.0</v>
      </c>
      <c r="K54" s="59">
        <v>0.0</v>
      </c>
      <c r="L54" s="59">
        <v>0.0</v>
      </c>
      <c r="M54" s="59">
        <v>0.0</v>
      </c>
      <c r="N54" s="59">
        <v>0.0</v>
      </c>
      <c r="O54" s="59">
        <v>0.0</v>
      </c>
      <c r="P54" s="59">
        <v>0.0</v>
      </c>
      <c r="Q54" s="37"/>
      <c r="R54" s="11"/>
      <c r="S54" s="11"/>
      <c r="T54" s="11"/>
      <c r="U54" s="11"/>
      <c r="V54" s="11"/>
      <c r="W54" s="11"/>
      <c r="X54" s="11"/>
      <c r="Y54" s="11"/>
      <c r="Z54" s="11"/>
    </row>
    <row r="55" ht="13.5" customHeight="1">
      <c r="A55" s="35" t="s">
        <v>191</v>
      </c>
      <c r="B55" s="36"/>
      <c r="C55" s="33"/>
      <c r="D55" s="33"/>
      <c r="E55" s="60">
        <f t="shared" ref="E55:P55" si="33">E53-E54</f>
        <v>-6.4544</v>
      </c>
      <c r="F55" s="37">
        <f t="shared" si="33"/>
        <v>-10.2992</v>
      </c>
      <c r="G55" s="37">
        <f t="shared" si="33"/>
        <v>-10.7504</v>
      </c>
      <c r="H55" s="37">
        <f t="shared" si="33"/>
        <v>-9.5624</v>
      </c>
      <c r="I55" s="37">
        <f t="shared" si="33"/>
        <v>1.4456</v>
      </c>
      <c r="J55" s="37">
        <f t="shared" si="33"/>
        <v>-3.476</v>
      </c>
      <c r="K55" s="37">
        <f t="shared" si="33"/>
        <v>2.9304</v>
      </c>
      <c r="L55" s="37">
        <f t="shared" si="33"/>
        <v>0</v>
      </c>
      <c r="M55" s="37">
        <f t="shared" si="33"/>
        <v>0</v>
      </c>
      <c r="N55" s="37">
        <f t="shared" si="33"/>
        <v>0</v>
      </c>
      <c r="O55" s="37">
        <f t="shared" si="33"/>
        <v>0</v>
      </c>
      <c r="P55" s="37">
        <f t="shared" si="33"/>
        <v>0</v>
      </c>
      <c r="Q55" s="37"/>
      <c r="R55" s="11"/>
      <c r="S55" s="11"/>
      <c r="T55" s="11"/>
      <c r="U55" s="11"/>
      <c r="V55" s="11"/>
      <c r="W55" s="11"/>
      <c r="X55" s="11"/>
      <c r="Y55" s="11"/>
      <c r="Z55" s="11"/>
    </row>
    <row r="56" ht="13.5" customHeight="1">
      <c r="A56" s="35" t="s">
        <v>192</v>
      </c>
      <c r="B56" s="36"/>
      <c r="C56" s="33"/>
      <c r="D56" s="33"/>
      <c r="E56" s="41">
        <f t="shared" ref="E56:P56" si="34">IF(E53&gt;0,E55/E53,0)</f>
        <v>-0.02403465184</v>
      </c>
      <c r="F56" s="41">
        <f t="shared" si="34"/>
        <v>-0.05317066321</v>
      </c>
      <c r="G56" s="41">
        <f t="shared" si="34"/>
        <v>-0.1031217386</v>
      </c>
      <c r="H56" s="41">
        <f t="shared" si="34"/>
        <v>-0.1132481264</v>
      </c>
      <c r="I56" s="41">
        <f t="shared" si="34"/>
        <v>0.07837099362</v>
      </c>
      <c r="J56" s="41">
        <f t="shared" si="34"/>
        <v>-0.6292541636</v>
      </c>
      <c r="K56" s="41">
        <f t="shared" si="34"/>
        <v>1</v>
      </c>
      <c r="L56" s="41">
        <f t="shared" si="34"/>
        <v>0</v>
      </c>
      <c r="M56" s="41">
        <f t="shared" si="34"/>
        <v>0</v>
      </c>
      <c r="N56" s="41">
        <f t="shared" si="34"/>
        <v>0</v>
      </c>
      <c r="O56" s="41">
        <f t="shared" si="34"/>
        <v>0</v>
      </c>
      <c r="P56" s="41">
        <f t="shared" si="34"/>
        <v>0</v>
      </c>
      <c r="Q56" s="37"/>
      <c r="R56" s="11"/>
      <c r="S56" s="11"/>
      <c r="T56" s="11"/>
      <c r="U56" s="11"/>
      <c r="V56" s="11"/>
      <c r="W56" s="11"/>
      <c r="X56" s="11"/>
      <c r="Y56" s="11"/>
      <c r="Z56" s="11"/>
    </row>
    <row r="57" ht="13.5" customHeight="1">
      <c r="A57" s="35" t="s">
        <v>195</v>
      </c>
      <c r="B57" s="36"/>
      <c r="C57" s="33"/>
      <c r="D57" s="33"/>
      <c r="E57" s="61">
        <v>203546.0</v>
      </c>
      <c r="F57" s="61">
        <v>150994.0</v>
      </c>
      <c r="G57" s="62">
        <v>0.0</v>
      </c>
      <c r="H57" s="61">
        <v>69575.67</v>
      </c>
      <c r="I57" s="61">
        <v>12582.83</v>
      </c>
      <c r="J57" s="61">
        <v>6661.5</v>
      </c>
      <c r="K57" s="62">
        <v>0.0</v>
      </c>
      <c r="L57" s="62">
        <v>0.0</v>
      </c>
      <c r="M57" s="62">
        <v>0.0</v>
      </c>
      <c r="N57" s="62">
        <v>0.0</v>
      </c>
      <c r="O57" s="62">
        <v>0.0</v>
      </c>
      <c r="P57" s="62">
        <v>0.0</v>
      </c>
      <c r="Q57" s="37">
        <f>N24-M24</f>
        <v>0</v>
      </c>
      <c r="R57" s="11"/>
      <c r="S57" s="11"/>
      <c r="T57" s="11"/>
      <c r="U57" s="11"/>
      <c r="V57" s="11"/>
      <c r="W57" s="11"/>
      <c r="X57" s="11"/>
      <c r="Y57" s="11"/>
      <c r="Z57" s="11"/>
    </row>
    <row r="58" ht="13.5" customHeight="1">
      <c r="A58" s="35" t="s">
        <v>215</v>
      </c>
      <c r="B58" s="36"/>
      <c r="C58" s="33"/>
      <c r="D58" s="33"/>
      <c r="E58" s="63">
        <f t="shared" ref="E58:P58" si="35">IF(E54&gt;0,E57/E54,0)</f>
        <v>740.1672727</v>
      </c>
      <c r="F58" s="63">
        <f t="shared" si="35"/>
        <v>740.1666667</v>
      </c>
      <c r="G58" s="63">
        <f t="shared" si="35"/>
        <v>0</v>
      </c>
      <c r="H58" s="63">
        <f t="shared" si="35"/>
        <v>740.1667021</v>
      </c>
      <c r="I58" s="63">
        <f t="shared" si="35"/>
        <v>740.1664706</v>
      </c>
      <c r="J58" s="63">
        <f t="shared" si="35"/>
        <v>740.1666667</v>
      </c>
      <c r="K58" s="63">
        <f t="shared" si="35"/>
        <v>0</v>
      </c>
      <c r="L58" s="63">
        <f t="shared" si="35"/>
        <v>0</v>
      </c>
      <c r="M58" s="63">
        <f t="shared" si="35"/>
        <v>0</v>
      </c>
      <c r="N58" s="63">
        <f t="shared" si="35"/>
        <v>0</v>
      </c>
      <c r="O58" s="63">
        <f t="shared" si="35"/>
        <v>0</v>
      </c>
      <c r="P58" s="63">
        <f t="shared" si="35"/>
        <v>0</v>
      </c>
      <c r="Q58" s="37"/>
      <c r="R58" s="11"/>
      <c r="S58" s="11"/>
      <c r="T58" s="11"/>
      <c r="U58" s="11"/>
      <c r="V58" s="11"/>
      <c r="W58" s="11"/>
      <c r="X58" s="11"/>
      <c r="Y58" s="11"/>
      <c r="Z58" s="11"/>
    </row>
    <row r="59" ht="13.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3.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3.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3.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3.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3.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3.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3.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3.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3.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3.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3.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3.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3.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3.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3.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3.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3.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3.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3.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3.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3.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3.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3.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3.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3.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3.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3.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3.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3.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3.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3.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3.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3.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3.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3.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3.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3.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3.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3.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3.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3.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3.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3.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3.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3.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3.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3.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3.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3.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3.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3.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3.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3.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3.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3.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3.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3.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3.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3.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3.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3.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3.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3.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3.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3.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3.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3.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3.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3.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3.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3.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3.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3.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3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3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3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3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3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3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3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3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3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3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3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3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3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3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3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3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3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3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3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3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3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3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3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3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3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3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3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3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3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3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3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3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3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3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3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3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3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3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3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3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3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3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3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3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3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3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3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3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3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3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3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3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3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3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3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3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3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3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3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3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3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3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3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3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3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3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3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3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3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3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3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3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3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3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3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3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3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3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3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3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3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3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3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3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3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3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3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3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3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3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3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3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3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3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3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3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3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3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3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3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3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3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3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3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3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3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3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3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3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3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3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3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3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3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3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3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3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3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3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3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3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3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3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3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3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3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3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3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3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3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3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3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3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3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3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3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3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3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3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3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3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3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3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3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3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3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3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3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3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3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3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3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3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3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3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3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3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3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3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3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3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3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3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3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3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3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3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3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3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3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3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3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3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3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3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3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3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3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3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3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3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3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3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3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3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3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3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3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3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3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3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3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3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3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3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3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3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3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3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3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3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3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3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3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3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3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3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3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3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3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3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3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3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3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3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3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3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3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3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3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3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3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3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3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3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3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3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3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3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3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3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3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3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3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3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3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3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3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3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3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3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3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3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3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3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3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3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3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3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3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3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3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3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3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3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3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3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3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3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3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3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3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3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3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3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3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3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3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3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3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3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3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3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3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3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3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3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3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3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3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3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3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3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3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3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3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3.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3.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3.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3.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3.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3.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3.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3.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3.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3.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3.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3.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3.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3.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3.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3.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3.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3.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3.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3.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3.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3.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3.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3.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3.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3.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3.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3.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3.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3.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3.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3.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3.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3.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3.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3.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3.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3.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3.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3.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3.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3.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3.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3.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3.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3.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3.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3.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3.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3.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3.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3.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3.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3.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3.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3.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3.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3.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3.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3.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3.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3.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3.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3.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3.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3.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3.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3.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3.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3.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3.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3.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3.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3.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3.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3.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3.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3.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3.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3.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3.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3.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3.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3.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3.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3.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3.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3.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3.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3.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3.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3.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3.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3.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3.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3.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3.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3.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3.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3.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3.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3.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3.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3.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3.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3.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3.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3.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3.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3.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3.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3.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3.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3.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3.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3.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3.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3.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3.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3.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3.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3.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3.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3.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3.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3.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3.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3.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3.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3.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3.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3.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3.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3.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3.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3.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3.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3.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3.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3.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3.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3.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3.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3.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3.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3.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3.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3.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3.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3.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3.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3.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3.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3.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3.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3.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3.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3.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3.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3.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3.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3.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3.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3.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3.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3.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3.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3.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3.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3.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3.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3.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3.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3.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3.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3.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3.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3.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3.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3.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3.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3.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3.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3.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3.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3.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3.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3.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3.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3.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3.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3.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3.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3.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3.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3.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3.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3.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3.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3.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3.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3.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3.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3.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3.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3.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3.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3.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3.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3.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3.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3.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3.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3.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3.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3.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3.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3.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3.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3.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3.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3.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3.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3.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3.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3.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3.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3.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3.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3.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3.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3.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3.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3.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3.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3.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3.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3.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3.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3.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3.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3.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3.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3.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3.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3.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3.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3.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3.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3.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3.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3.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3.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3.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3.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3.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3.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3.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3.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3.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3.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3.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3.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3.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3.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3.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3.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3.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3.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3.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3.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3.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3.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3.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3.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3.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3.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3.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3.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3.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3.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3.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3.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3.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3.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3.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3.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3.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3.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3.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3.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3.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3.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3.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3.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3.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3.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3.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3.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3.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3.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3.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3.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3.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3.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3.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3.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3.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3.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3.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3.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3.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3.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3.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3.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3.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3.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3.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3.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3.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3.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3.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3.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3.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3.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3.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3.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3.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3.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3.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3.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3.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3.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3.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3.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3.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3.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3.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3.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3.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3.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3.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3.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3.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3.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3.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3.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3.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3.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3.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3.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3.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3.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3.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3.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3.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3.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3.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3.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3.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3.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3.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3.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3.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3.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3.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3.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3.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3.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3.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3.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3.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3.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3.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3.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3.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3.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3.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3.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3.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3.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3.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3.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3.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3.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3.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3.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3.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3.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3.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3.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3.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3.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3.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3.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3.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3.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3.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3.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3.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3.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3.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3.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3.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3.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3.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3.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3.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3.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3.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3.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3.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3.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3.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3.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3.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3.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3.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3.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3.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3.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3.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3.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3.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3.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3.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3.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3.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3.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3.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3.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3.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3.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3.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3.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3.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3.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3.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3.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3.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3.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3.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3.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3.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3.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3.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3.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3.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3.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3.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3.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3.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3.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3.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3.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3.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3.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3.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3.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3.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3.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3.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3.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3.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3.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3.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3.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3.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3.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3.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3.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3.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3.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3.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3.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3.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3.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3.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3.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3.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3.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3.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3.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3.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3.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3.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3.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3.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3.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3.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3.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3.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3.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3.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3.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3.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3.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3.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3.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3.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3.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3.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3.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3.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3.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3.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3.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3.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3.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3.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3.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3.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3.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3.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3.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3.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3.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3.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3.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3.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3.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3.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3.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3.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3.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3.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3.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3.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3.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3.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3.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3.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3.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3.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3.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3.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3.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3.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3.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3.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3.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3.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3.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3.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3.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3.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3.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3.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3.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3.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3.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3.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3.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3.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3.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3.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3.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3.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3.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3.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3.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3.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3.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3.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3.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3.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3.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3.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3.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3.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3.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3.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3.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3.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3.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3.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3.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3.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3.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3.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3.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3.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8">
    <mergeCell ref="A51:B51"/>
    <mergeCell ref="A52:B52"/>
    <mergeCell ref="A53:B53"/>
    <mergeCell ref="A54:B54"/>
    <mergeCell ref="A55:B55"/>
    <mergeCell ref="A56:B56"/>
    <mergeCell ref="A57:B57"/>
    <mergeCell ref="A58:B58"/>
  </mergeCells>
  <dataValidations>
    <dataValidation type="custom" allowBlank="1" showDropDown="1" sqref="Q27:Q49">
      <formula1>OR(NOT(ISERROR(DATEVALUE(Q27))), AND(ISNUMBER(Q27), LEFT(CELL("format", Q27))="D"))</formula1>
    </dataValidation>
    <dataValidation type="custom" allowBlank="1" showDropDown="1" sqref="D27:P49">
      <formula1>AND(ISNUMBER(D27),(NOT(OR(NOT(ISERROR(DATEVALUE(D27))), AND(ISNUMBER(D27), LEFT(CELL("format", D27))="D")))))</formula1>
    </dataValidation>
    <dataValidation allowBlank="1" showDropDown="1" sqref="A27:B49"/>
  </dataValidations>
  <printOptions/>
  <pageMargins bottom="0.75" footer="0.0" header="0.0" left="0.5" right="0.5" top="0.75"/>
  <pageSetup scale="72" orientation="portrait"/>
  <headerFooter>
    <oddFooter>&amp;C000000&amp;P</oddFooter>
  </headerFooter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0" width="21.57"/>
  </cols>
  <sheetData>
    <row r="1" ht="22.5" customHeight="1">
      <c r="A1" s="88" t="s">
        <v>230</v>
      </c>
      <c r="B1" s="88" t="s">
        <v>231</v>
      </c>
      <c r="C1" s="89" t="s">
        <v>33</v>
      </c>
      <c r="D1" s="89" t="s">
        <v>47</v>
      </c>
    </row>
    <row r="2" ht="22.5" customHeight="1">
      <c r="A2" s="90">
        <v>46084.082838912036</v>
      </c>
      <c r="B2" s="91">
        <v>46084.0</v>
      </c>
      <c r="C2" s="92"/>
      <c r="D2" s="92"/>
    </row>
    <row r="3" ht="22.5" customHeight="1">
      <c r="A3" s="93">
        <v>46084.08707357639</v>
      </c>
      <c r="B3" s="94">
        <v>46084.0</v>
      </c>
      <c r="C3" s="95">
        <v>100.0</v>
      </c>
      <c r="D3" s="95">
        <v>200.0</v>
      </c>
    </row>
    <row r="4" ht="22.5" customHeight="1">
      <c r="A4" s="93">
        <v>46084.087639537036</v>
      </c>
      <c r="B4" s="94">
        <v>46084.0</v>
      </c>
      <c r="C4" s="95">
        <v>150.0</v>
      </c>
      <c r="D4" s="95">
        <v>250.0</v>
      </c>
    </row>
  </sheetData>
  <drawing r:id="rId1"/>
  <tableParts count="1">
    <tablePart r:id="rId3"/>
  </tableParts>
</worksheet>
</file>