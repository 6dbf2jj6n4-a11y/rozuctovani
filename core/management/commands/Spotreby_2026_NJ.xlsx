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IENT" sheetId="1" r:id="rId5"/>
    <sheet state="visible" name="ELEKTRO" sheetId="2" r:id="rId6"/>
    <sheet state="visible" name="VODA" sheetId="3" r:id="rId7"/>
    <sheet state="visible" name="TEPLO" sheetId="4" r:id="rId8"/>
    <sheet state="visible" name="RADIATORY" sheetId="5" r:id="rId9"/>
  </sheets>
  <definedNames/>
  <calcPr/>
</workbook>
</file>

<file path=xl/sharedStrings.xml><?xml version="1.0" encoding="utf-8"?>
<sst xmlns="http://schemas.openxmlformats.org/spreadsheetml/2006/main" count="261" uniqueCount="161">
  <si>
    <t>PČ</t>
  </si>
  <si>
    <t>Jméno/Firma</t>
  </si>
  <si>
    <t>2026</t>
  </si>
  <si>
    <t>Aktiv Novostav s. r. o.</t>
  </si>
  <si>
    <t>BURNING TECHNOLOGY a. s.</t>
  </si>
  <si>
    <t>CSE</t>
  </si>
  <si>
    <t>Delphia MORAVIA s.r.o.</t>
  </si>
  <si>
    <t>FSL CZ, s. r. o.</t>
  </si>
  <si>
    <t>EVUM Motors s.r.o.</t>
  </si>
  <si>
    <t>ONE KLIMA, s. r. o.</t>
  </si>
  <si>
    <t>Maker Inspiration s.r.o.</t>
  </si>
  <si>
    <t>VINTECO s. r. o.</t>
  </si>
  <si>
    <t>XXX</t>
  </si>
  <si>
    <t>SUNFRIO</t>
  </si>
  <si>
    <t>MastrCrane Production, s. r. o.</t>
  </si>
  <si>
    <t>výpočet</t>
  </si>
  <si>
    <t>Michal GNES</t>
  </si>
  <si>
    <t>Bezunk Roman</t>
  </si>
  <si>
    <t>MV Active s.r.o.</t>
  </si>
  <si>
    <t>MastrCrane</t>
  </si>
  <si>
    <t>ONE KLIMA s. r. o.</t>
  </si>
  <si>
    <t>Delphia</t>
  </si>
  <si>
    <t>YYY</t>
  </si>
  <si>
    <t>MV ACTIVE</t>
  </si>
  <si>
    <t>STAVY</t>
  </si>
  <si>
    <t>KLIENT</t>
  </si>
  <si>
    <t>Poznámka</t>
  </si>
  <si>
    <t>Jedn.</t>
  </si>
  <si>
    <t>1. 1. 2026</t>
  </si>
  <si>
    <t>1. 2. 2026</t>
  </si>
  <si>
    <t>1. 3. 2026</t>
  </si>
  <si>
    <t>1. 4. 2026</t>
  </si>
  <si>
    <t>1. 5. 2026</t>
  </si>
  <si>
    <t>1. 6. 2026</t>
  </si>
  <si>
    <t>1. 7. 2026</t>
  </si>
  <si>
    <t>1. 8. 2026</t>
  </si>
  <si>
    <t>1. 9. 2026</t>
  </si>
  <si>
    <t>1. 10. 2026</t>
  </si>
  <si>
    <t>1. 11. 2026</t>
  </si>
  <si>
    <t>1. 12. 2026</t>
  </si>
  <si>
    <t>1. 1. 2027</t>
  </si>
  <si>
    <t>E_A1</t>
  </si>
  <si>
    <t>hala A1/A2</t>
  </si>
  <si>
    <t>kWh</t>
  </si>
  <si>
    <t>E_AB1</t>
  </si>
  <si>
    <t>rozpočítáno, admin. budova přízemí</t>
  </si>
  <si>
    <t>E_AB1_10</t>
  </si>
  <si>
    <t>spol. 11+12 Kociak/Aktiv, brána, vrátnice</t>
  </si>
  <si>
    <t>E_AB1_08</t>
  </si>
  <si>
    <t>E_AB1_11</t>
  </si>
  <si>
    <t>E_AB1_12</t>
  </si>
  <si>
    <t>E_AB1_18</t>
  </si>
  <si>
    <t>společný prostor WC/Sprchy</t>
  </si>
  <si>
    <t>E_AB1_22</t>
  </si>
  <si>
    <t>Showroom</t>
  </si>
  <si>
    <t>E_AB1_23</t>
  </si>
  <si>
    <t>rack</t>
  </si>
  <si>
    <t>E_AB1_25</t>
  </si>
  <si>
    <t>topení, kamery</t>
  </si>
  <si>
    <t>E_AB1_27</t>
  </si>
  <si>
    <t>zkušebna</t>
  </si>
  <si>
    <t>E_AB2</t>
  </si>
  <si>
    <t>II. patro + internet</t>
  </si>
  <si>
    <t>E_AB3</t>
  </si>
  <si>
    <t>3 NP</t>
  </si>
  <si>
    <t>E_AB4</t>
  </si>
  <si>
    <t>Příprava kotelna - plyn</t>
  </si>
  <si>
    <t>E_B1</t>
  </si>
  <si>
    <t>hala B1/B1A</t>
  </si>
  <si>
    <t>E_B1A</t>
  </si>
  <si>
    <t>E_B2</t>
  </si>
  <si>
    <t>haly B1/B2/C4</t>
  </si>
  <si>
    <t>E_C1</t>
  </si>
  <si>
    <t>hala C1/C3</t>
  </si>
  <si>
    <t>E_C2</t>
  </si>
  <si>
    <t>hala C - FSL</t>
  </si>
  <si>
    <t>E_D1</t>
  </si>
  <si>
    <t xml:space="preserve">hala D1 </t>
  </si>
  <si>
    <t>E_D2</t>
  </si>
  <si>
    <t>garáže D2</t>
  </si>
  <si>
    <t>E_D3</t>
  </si>
  <si>
    <t>zatím neexistuje, sklad Olda</t>
  </si>
  <si>
    <t>E_CH2</t>
  </si>
  <si>
    <t>Denní místnost</t>
  </si>
  <si>
    <t>E_CH1</t>
  </si>
  <si>
    <t>spojovací chodba</t>
  </si>
  <si>
    <t>E_OSV1</t>
  </si>
  <si>
    <t>osvit 1</t>
  </si>
  <si>
    <t>E_OSV2</t>
  </si>
  <si>
    <t>osvit 2</t>
  </si>
  <si>
    <t>E_AB1_16</t>
  </si>
  <si>
    <t>Bojler sprchy</t>
  </si>
  <si>
    <t>E_B1Z</t>
  </si>
  <si>
    <t>Zářiče hala B1</t>
  </si>
  <si>
    <t>E_B2Z</t>
  </si>
  <si>
    <t>Zářiče hala B2</t>
  </si>
  <si>
    <t>E_C1Z</t>
  </si>
  <si>
    <t>Zářiče hala C 1</t>
  </si>
  <si>
    <t>E_D1Z</t>
  </si>
  <si>
    <t>Zářiče hala D 1</t>
  </si>
  <si>
    <t>E_C6</t>
  </si>
  <si>
    <t>hala C5/C6</t>
  </si>
  <si>
    <t>E_SPOL</t>
  </si>
  <si>
    <t>společná</t>
  </si>
  <si>
    <t xml:space="preserve"> </t>
  </si>
  <si>
    <t>SPOTŘEBY</t>
  </si>
  <si>
    <t>Koef</t>
  </si>
  <si>
    <t>ledna</t>
  </si>
  <si>
    <t>února</t>
  </si>
  <si>
    <t>března</t>
  </si>
  <si>
    <t>dubna</t>
  </si>
  <si>
    <t>května</t>
  </si>
  <si>
    <t>června</t>
  </si>
  <si>
    <t>července</t>
  </si>
  <si>
    <t>srpna</t>
  </si>
  <si>
    <t>září</t>
  </si>
  <si>
    <t>října</t>
  </si>
  <si>
    <t>listopadu</t>
  </si>
  <si>
    <t>prosince</t>
  </si>
  <si>
    <t>Odečet</t>
  </si>
  <si>
    <t>topení</t>
  </si>
  <si>
    <t>výpočet, podružné B1/B1A/B1Z/B2Z</t>
  </si>
  <si>
    <t>bojler sprchy</t>
  </si>
  <si>
    <t xml:space="preserve">podružny </t>
  </si>
  <si>
    <t>CELKEM:</t>
  </si>
  <si>
    <t>Celkem odečtena spotřeba</t>
  </si>
  <si>
    <t>fakturovaná spotřeba</t>
  </si>
  <si>
    <t>Fakturace bez 4% přirážky</t>
  </si>
  <si>
    <t>Rozdíl (chybí/přebývá)</t>
  </si>
  <si>
    <t>Rozdíl (chybí/přebývá) %</t>
  </si>
  <si>
    <t>TEDOM celkem Kč</t>
  </si>
  <si>
    <t>Výpočet sazby Kč/kWh</t>
  </si>
  <si>
    <t>W_CELKEM</t>
  </si>
  <si>
    <t>m3</t>
  </si>
  <si>
    <t>Celkem odečtena spotřeba m3</t>
  </si>
  <si>
    <t>Fakturovaná spotřeba m3</t>
  </si>
  <si>
    <t>Rozdíl (chybí/přebývá) kWh</t>
  </si>
  <si>
    <t>Fakturace celkem Kč</t>
  </si>
  <si>
    <t>sazba 128,63 Kč/m3</t>
  </si>
  <si>
    <t>T_CELKEM</t>
  </si>
  <si>
    <t>rozúčtováno dle m2</t>
  </si>
  <si>
    <t>T_PELETY</t>
  </si>
  <si>
    <t>spotřeba pelet</t>
  </si>
  <si>
    <t>kg</t>
  </si>
  <si>
    <t>ß</t>
  </si>
  <si>
    <t>Celkem odečtena spotřeba kWh</t>
  </si>
  <si>
    <t>Fakturovaná spotřeba kWh</t>
  </si>
  <si>
    <t>cena Kč/kWh</t>
  </si>
  <si>
    <t>cena pelet Kč/kg</t>
  </si>
  <si>
    <t>Kč pelety</t>
  </si>
  <si>
    <t>Celkem  Kč</t>
  </si>
  <si>
    <t>Tabulka 1</t>
  </si>
  <si>
    <t>Radiátory</t>
  </si>
  <si>
    <t>kwh</t>
  </si>
  <si>
    <t>Kč/kwh</t>
  </si>
  <si>
    <t>Kč el.</t>
  </si>
  <si>
    <t>Kč/kg</t>
  </si>
  <si>
    <t>Kč celkem</t>
  </si>
  <si>
    <t>CELKEM</t>
  </si>
  <si>
    <t>SPOLECNE PROSTORY</t>
  </si>
  <si>
    <t>VYTAPENE KANC.+SKLADY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</si>
</sst>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\.\ m\.\ yyyy"/>
    <numFmt numFmtId="165" formatCode="mmmm"/>
    <numFmt numFmtId="166" formatCode="d\.m\.yyyy"/>
    <numFmt numFmtId="167" formatCode="#,##0.0#########"/>
    <numFmt numFmtId="168" formatCode="#,##0.00%"/>
    <numFmt numFmtId="169" formatCode="_-* #,##0.00\ &quot;Kč&quot;_-;\-* #,##0.00\ &quot;Kč&quot;_-;_-* &quot;-&quot;??\ &quot;Kč&quot;_-;_-@"/>
    <numFmt numFmtId="170" formatCode="#,##0.000\ [$Kč-405]"/>
    <numFmt numFmtId="171" formatCode="#,##0.00\ [$Kč-405]"/>
    <numFmt numFmtId="172" formatCode="#,##0.000"/>
    <numFmt numFmtId="173" formatCode="#,##0.00\ &quot;Kč&quot;"/>
    <numFmt numFmtId="174" formatCode="0.00\ [$Kč-405]"/>
  </numFmts>
  <fonts count="8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theme="1"/>
      <name val="Helvetica Neue"/>
    </font>
    <font>
      <sz val="11.0"/>
      <color rgb="FF000000"/>
      <name val="Helvetica Neue"/>
    </font>
    <font>
      <b/>
      <sz val="11.0"/>
      <color rgb="FF000000"/>
      <name val="Helvetica Neue"/>
    </font>
    <font/>
    <font>
      <sz val="12.0"/>
      <color rgb="FF000000"/>
      <name val="Helvetica Neue"/>
    </font>
  </fonts>
  <fills count="9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4F4F4"/>
        <bgColor rgb="FFF4F4F4"/>
      </patternFill>
    </fill>
    <fill>
      <patternFill patternType="solid">
        <fgColor rgb="FF72FCE9"/>
        <bgColor rgb="FF72FCE9"/>
      </patternFill>
    </fill>
    <fill>
      <patternFill patternType="solid">
        <fgColor rgb="FFFF968C"/>
        <bgColor rgb="FFFF968C"/>
      </patternFill>
    </fill>
    <fill>
      <patternFill patternType="solid">
        <fgColor rgb="FFFFF056"/>
        <bgColor rgb="FFFFF056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/>
      <top style="thin">
        <color rgb="FF3F3F3F"/>
      </top>
      <bottom style="thin">
        <color rgb="FFA5A5A5"/>
      </bottom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2" fillId="3" fontId="1" numFmtId="49" xfId="0" applyAlignment="1" applyBorder="1" applyFont="1" applyNumberFormat="1">
      <alignment shrinkToFit="0" vertical="top" wrapText="1"/>
    </xf>
    <xf borderId="2" fillId="3" fontId="1" numFmtId="49" xfId="0" applyAlignment="1" applyBorder="1" applyFont="1" applyNumberForma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164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2" fillId="3" fontId="5" numFmtId="49" xfId="0" applyAlignment="1" applyBorder="1" applyFont="1" applyNumberFormat="1">
      <alignment shrinkToFit="0" vertical="top" wrapText="1"/>
    </xf>
    <xf borderId="2" fillId="4" fontId="4" numFmtId="49" xfId="0" applyAlignment="1" applyBorder="1" applyFill="1" applyFont="1" applyNumberFormat="1">
      <alignment shrinkToFit="0" vertical="top" wrapText="1"/>
    </xf>
    <xf borderId="2" fillId="4" fontId="4" numFmtId="3" xfId="0" applyAlignment="1" applyBorder="1" applyFont="1" applyNumberFormat="1">
      <alignment shrinkToFit="0" vertical="top" wrapText="1"/>
    </xf>
    <xf borderId="2" fillId="4" fontId="4" numFmtId="3" xfId="0" applyAlignment="1" applyBorder="1" applyFont="1" applyNumberFormat="1">
      <alignment readingOrder="0" shrinkToFit="0" vertical="top" wrapText="1"/>
    </xf>
    <xf borderId="2" fillId="0" fontId="4" numFmtId="49" xfId="0" applyAlignment="1" applyBorder="1" applyFont="1" applyNumberFormat="1">
      <alignment shrinkToFit="0" vertical="top" wrapText="1"/>
    </xf>
    <xf borderId="2" fillId="4" fontId="4" numFmtId="49" xfId="0" applyAlignment="1" applyBorder="1" applyFont="1" applyNumberFormat="1">
      <alignment shrinkToFit="0" vertical="top" wrapText="0"/>
    </xf>
    <xf borderId="2" fillId="4" fontId="4" numFmtId="49" xfId="0" applyAlignment="1" applyBorder="1" applyFont="1" applyNumberFormat="1">
      <alignment readingOrder="0" shrinkToFit="0" vertical="top" wrapText="1"/>
    </xf>
    <xf borderId="2" fillId="5" fontId="4" numFmtId="49" xfId="0" applyAlignment="1" applyBorder="1" applyFill="1" applyFont="1" applyNumberFormat="1">
      <alignment shrinkToFit="0" vertical="top" wrapText="1"/>
    </xf>
    <xf borderId="2" fillId="6" fontId="4" numFmtId="49" xfId="0" applyAlignment="1" applyBorder="1" applyFill="1" applyFont="1" applyNumberForma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165" xfId="0" applyAlignment="1" applyFont="1" applyNumberFormat="1">
      <alignment horizontal="center" readingOrder="0" shrinkToFit="0" vertical="top" wrapText="1"/>
    </xf>
    <xf borderId="0" fillId="0" fontId="3" numFmtId="165" xfId="0" applyAlignment="1" applyFont="1" applyNumberFormat="1">
      <alignment horizontal="center" readingOrder="0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shrinkToFit="0" vertical="top" wrapText="1"/>
    </xf>
    <xf borderId="2" fillId="7" fontId="4" numFmtId="166" xfId="0" applyAlignment="1" applyBorder="1" applyFill="1" applyFont="1" applyNumberFormat="1">
      <alignment readingOrder="0" shrinkToFit="0" vertical="top" wrapText="1"/>
    </xf>
    <xf borderId="2" fillId="4" fontId="4" numFmtId="0" xfId="0" applyAlignment="1" applyBorder="1" applyFont="1">
      <alignment horizontal="center" shrinkToFit="0" vertical="top" wrapText="1"/>
    </xf>
    <xf borderId="2" fillId="4" fontId="4" numFmtId="0" xfId="0" applyAlignment="1" applyBorder="1" applyFont="1">
      <alignment shrinkToFit="0" vertical="top" wrapText="1"/>
    </xf>
    <xf borderId="2" fillId="4" fontId="4" numFmtId="166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horizontal="center" shrinkToFit="0" vertical="top" wrapText="1"/>
    </xf>
    <xf borderId="2" fillId="0" fontId="4" numFmtId="166" xfId="0" applyAlignment="1" applyBorder="1" applyFont="1" applyNumberFormat="1">
      <alignment shrinkToFit="0" vertical="top" wrapText="1"/>
    </xf>
    <xf borderId="2" fillId="4" fontId="4" numFmtId="49" xfId="0" applyAlignment="1" applyBorder="1" applyFont="1" applyNumberFormat="1">
      <alignment horizontal="center" shrinkToFit="0" vertical="top" wrapText="1"/>
    </xf>
    <xf borderId="2" fillId="0" fontId="4" numFmtId="49" xfId="0" applyAlignment="1" applyBorder="1" applyFont="1" applyNumberFormat="1">
      <alignment horizontal="center" shrinkToFit="0" vertical="top" wrapText="0"/>
    </xf>
    <xf borderId="3" fillId="3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5" fillId="4" fontId="4" numFmtId="0" xfId="0" applyAlignment="1" applyBorder="1" applyFont="1">
      <alignment horizontal="center" shrinkToFit="0" vertical="top" wrapText="1"/>
    </xf>
    <xf borderId="5" fillId="4" fontId="4" numFmtId="0" xfId="0" applyAlignment="1" applyBorder="1" applyFont="1">
      <alignment shrinkToFit="0" vertical="top" wrapText="1"/>
    </xf>
    <xf borderId="5" fillId="4" fontId="4" numFmtId="3" xfId="0" applyAlignment="1" applyBorder="1" applyFont="1" applyNumberFormat="1">
      <alignment shrinkToFit="0" vertical="top" wrapText="1"/>
    </xf>
    <xf borderId="6" fillId="3" fontId="5" numFmtId="49" xfId="0" applyAlignment="1" applyBorder="1" applyFont="1" applyNumberFormat="1">
      <alignment horizontal="center" shrinkToFit="0" vertical="top" wrapText="1"/>
    </xf>
    <xf borderId="7" fillId="0" fontId="6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2" fillId="0" fontId="5" numFmtId="3" xfId="0" applyAlignment="1" applyBorder="1" applyFont="1" applyNumberFormat="1">
      <alignment shrinkToFit="0" vertical="top" wrapText="1"/>
    </xf>
    <xf borderId="6" fillId="3" fontId="5" numFmtId="0" xfId="0" applyAlignment="1" applyBorder="1" applyFont="1">
      <alignment horizontal="center" shrinkToFit="0" vertical="top" wrapText="1"/>
    </xf>
    <xf borderId="2" fillId="4" fontId="4" numFmtId="0" xfId="0" applyAlignment="1" applyBorder="1" applyFont="1">
      <alignment horizontal="center" shrinkToFit="0" vertical="top" wrapText="1"/>
    </xf>
    <xf borderId="2" fillId="4" fontId="5" numFmtId="3" xfId="0" applyAlignment="1" applyBorder="1" applyFont="1" applyNumberFormat="1">
      <alignment shrinkToFit="0" vertical="top" wrapText="1"/>
    </xf>
    <xf borderId="2" fillId="7" fontId="5" numFmtId="0" xfId="0" applyAlignment="1" applyBorder="1" applyFont="1">
      <alignment shrinkToFit="0" vertical="top" wrapText="1"/>
    </xf>
    <xf borderId="2" fillId="7" fontId="5" numFmtId="0" xfId="0" applyAlignment="1" applyBorder="1" applyFont="1">
      <alignment readingOrder="0" shrinkToFit="0" vertical="top" wrapText="1"/>
    </xf>
    <xf borderId="2" fillId="4" fontId="5" numFmtId="167" xfId="0" applyAlignment="1" applyBorder="1" applyFont="1" applyNumberFormat="1">
      <alignment shrinkToFit="0" vertical="top" wrapText="1"/>
    </xf>
    <xf borderId="2" fillId="0" fontId="5" numFmtId="168" xfId="0" applyAlignment="1" applyBorder="1" applyFont="1" applyNumberFormat="1">
      <alignment shrinkToFit="0" vertical="top" wrapText="1"/>
    </xf>
    <xf borderId="2" fillId="7" fontId="5" numFmtId="169" xfId="0" applyAlignment="1" applyBorder="1" applyFont="1" applyNumberFormat="1">
      <alignment shrinkToFit="0" vertical="top" wrapText="1"/>
    </xf>
    <xf borderId="2" fillId="7" fontId="5" numFmtId="169" xfId="0" applyAlignment="1" applyBorder="1" applyFont="1" applyNumberFormat="1">
      <alignment readingOrder="0" shrinkToFit="0" vertical="top" wrapText="1"/>
    </xf>
    <xf borderId="2" fillId="0" fontId="5" numFmtId="170" xfId="0" applyAlignment="1" applyBorder="1" applyFont="1" applyNumberFormat="1">
      <alignment shrinkToFit="0" vertical="top" wrapText="1"/>
    </xf>
    <xf borderId="0" fillId="0" fontId="4" numFmtId="169" xfId="0" applyAlignment="1" applyFont="1" applyNumberFormat="1">
      <alignment shrinkToFit="0" vertical="top" wrapText="1"/>
    </xf>
    <xf borderId="2" fillId="7" fontId="5" numFmtId="49" xfId="0" applyAlignment="1" applyBorder="1" applyFont="1" applyNumberFormat="1">
      <alignment horizontal="center" shrinkToFit="0" vertical="top" wrapText="1"/>
    </xf>
    <xf borderId="2" fillId="7" fontId="5" numFmtId="164" xfId="0" applyAlignment="1" applyBorder="1" applyFont="1" applyNumberFormat="1">
      <alignment horizontal="center" shrinkToFit="0" vertical="top" wrapText="1"/>
    </xf>
    <xf borderId="2" fillId="3" fontId="5" numFmtId="49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horizontal="center" shrinkToFit="0" vertical="top" wrapText="1"/>
    </xf>
    <xf borderId="2" fillId="0" fontId="4" numFmtId="3" xfId="0" applyAlignment="1" applyBorder="1" applyFont="1" applyNumberFormat="1">
      <alignment shrinkToFit="0" vertical="top" wrapText="1"/>
    </xf>
    <xf borderId="2" fillId="0" fontId="4" numFmtId="3" xfId="0" applyAlignment="1" applyBorder="1" applyFont="1" applyNumberFormat="1">
      <alignment readingOrder="0" shrinkToFit="0" vertical="top" wrapText="1"/>
    </xf>
    <xf borderId="2" fillId="3" fontId="5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7" fontId="5" numFmtId="165" xfId="0" applyAlignment="1" applyBorder="1" applyFont="1" applyNumberFormat="1">
      <alignment horizontal="center" shrinkToFit="0" vertical="top" wrapText="1"/>
    </xf>
    <xf borderId="2" fillId="7" fontId="5" numFmtId="0" xfId="0" applyAlignment="1" applyBorder="1" applyFont="1">
      <alignment horizontal="center" shrinkToFit="0" vertical="top" wrapText="1"/>
    </xf>
    <xf borderId="2" fillId="0" fontId="5" numFmtId="171" xfId="0" applyAlignment="1" applyBorder="1" applyFont="1" applyNumberFormat="1">
      <alignment shrinkToFit="0" vertical="top" wrapText="1"/>
    </xf>
    <xf borderId="2" fillId="0" fontId="4" numFmtId="4" xfId="0" applyAlignment="1" applyBorder="1" applyFont="1" applyNumberFormat="1">
      <alignment shrinkToFit="0" vertical="top" wrapText="1"/>
    </xf>
    <xf borderId="2" fillId="0" fontId="5" numFmtId="172" xfId="0" applyAlignment="1" applyBorder="1" applyFont="1" applyNumberFormat="1">
      <alignment shrinkToFit="0" vertical="top" wrapText="1"/>
    </xf>
    <xf borderId="2" fillId="0" fontId="5" numFmtId="169" xfId="0" applyAlignment="1" applyBorder="1" applyFont="1" applyNumberFormat="1">
      <alignment shrinkToFit="0" vertical="top" wrapText="1"/>
    </xf>
    <xf borderId="0" fillId="0" fontId="7" numFmtId="0" xfId="0" applyAlignment="1" applyFont="1">
      <alignment horizontal="center" shrinkToFit="0" vertical="center" wrapText="0"/>
    </xf>
    <xf borderId="8" fillId="2" fontId="1" numFmtId="0" xfId="0" applyAlignment="1" applyBorder="1" applyFont="1">
      <alignment shrinkToFit="0" vertical="top" wrapText="1"/>
    </xf>
    <xf borderId="9" fillId="2" fontId="1" numFmtId="49" xfId="0" applyAlignment="1" applyBorder="1" applyFont="1" applyNumberFormat="1">
      <alignment shrinkToFit="0" vertical="top" wrapText="1"/>
    </xf>
    <xf borderId="10" fillId="3" fontId="1" numFmtId="49" xfId="0" applyAlignment="1" applyBorder="1" applyFont="1" applyNumberFormat="1">
      <alignment shrinkToFit="0" vertical="top" wrapText="1"/>
    </xf>
    <xf borderId="2" fillId="8" fontId="2" numFmtId="0" xfId="0" applyAlignment="1" applyBorder="1" applyFill="1" applyFont="1">
      <alignment readingOrder="0" shrinkToFit="0" vertical="top" wrapText="1"/>
    </xf>
    <xf borderId="2" fillId="0" fontId="2" numFmtId="173" xfId="0" applyAlignment="1" applyBorder="1" applyFont="1" applyNumberFormat="1">
      <alignment shrinkToFit="0" vertical="top" wrapText="1"/>
    </xf>
    <xf borderId="2" fillId="8" fontId="2" numFmtId="169" xfId="0" applyAlignment="1" applyBorder="1" applyFont="1" applyNumberFormat="1">
      <alignment shrinkToFit="0" vertical="top" wrapText="1"/>
    </xf>
    <xf borderId="2" fillId="0" fontId="2" numFmtId="169" xfId="0" applyAlignment="1" applyBorder="1" applyFont="1" applyNumberFormat="1">
      <alignment shrinkToFit="0" vertical="top" wrapText="1"/>
    </xf>
    <xf borderId="11" fillId="3" fontId="1" numFmtId="49" xfId="0" applyAlignment="1" applyBorder="1" applyFont="1" applyNumberFormat="1">
      <alignment shrinkToFit="0" vertical="top" wrapText="1"/>
    </xf>
    <xf borderId="2" fillId="0" fontId="2" numFmtId="170" xfId="0" applyAlignment="1" applyBorder="1" applyFont="1" applyNumberFormat="1">
      <alignment shrinkToFit="0" vertical="top" wrapText="1"/>
    </xf>
    <xf borderId="12" fillId="3" fontId="1" numFmtId="49" xfId="0" applyAlignment="1" applyBorder="1" applyFont="1" applyNumberFormat="1">
      <alignment shrinkToFit="0" vertical="top" wrapText="1"/>
    </xf>
    <xf borderId="2" fillId="0" fontId="2" numFmtId="2" xfId="0" applyAlignment="1" applyBorder="1" applyFont="1" applyNumberFormat="1">
      <alignment shrinkToFit="0" vertical="top" wrapText="1"/>
    </xf>
    <xf borderId="2" fillId="0" fontId="2" numFmtId="17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2">
    <tableStyle count="4" pivot="0" name="ELEK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KTRO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4" displayName="STAVY" name="STAVY" id="1">
  <tableColumns count="17">
    <tableColumn name="STAVY" id="1"/>
    <tableColumn name="KLIENT" id="2"/>
    <tableColumn name="Poznámka" id="3"/>
    <tableColumn name="Jedn." id="4"/>
    <tableColumn name="1. 1. 2026" id="5"/>
    <tableColumn name="1. 2. 2026" id="6"/>
    <tableColumn name="1. 3. 2026" id="7"/>
    <tableColumn name="1. 4. 2026" id="8"/>
    <tableColumn name="1. 5. 2026" id="9"/>
    <tableColumn name="1. 6. 2026" id="10"/>
    <tableColumn name="1. 7. 2026" id="11"/>
    <tableColumn name="1. 8. 2026" id="12"/>
    <tableColumn name="1. 9. 2026" id="13"/>
    <tableColumn name="1. 10. 2026" id="14"/>
    <tableColumn name="1. 11. 2026" id="15"/>
    <tableColumn name="1. 12. 2026" id="16"/>
    <tableColumn name="1. 1. 2027" id="17"/>
  </tableColumns>
  <tableStyleInfo name="ELEKTRO-style" showColumnStripes="0" showFirstColumn="1" showLastColumn="1" showRowStripes="1"/>
</table>
</file>

<file path=xl/tables/table2.xml><?xml version="1.0" encoding="utf-8"?>
<table xmlns="http://schemas.openxmlformats.org/spreadsheetml/2006/main" ref="A37:Q70" displayName="SPOTŘEBY" name="SPOTŘEBY" id="2">
  <tableColumns count="17">
    <tableColumn name="SPOTŘEBY" id="1"/>
    <tableColumn name="KLIENT" id="2"/>
    <tableColumn name="Poznámka" id="3"/>
    <tableColumn name="Koef" id="4"/>
    <tableColumn name="ledna" id="5"/>
    <tableColumn name="února" id="6"/>
    <tableColumn name="března" id="7"/>
    <tableColumn name="dubna" id="8"/>
    <tableColumn name="května" id="9"/>
    <tableColumn name="června" id="10"/>
    <tableColumn name="července" id="11"/>
    <tableColumn name="srpna" id="12"/>
    <tableColumn name="září" id="13"/>
    <tableColumn name="října" id="14"/>
    <tableColumn name="listopadu" id="15"/>
    <tableColumn name="prosince" id="16"/>
    <tableColumn name="Odečet" id="17"/>
  </tableColumns>
  <tableStyleInfo name="ELEKTR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" width="29.86"/>
    <col customWidth="1" min="3" max="3" width="49.43"/>
    <col customWidth="1" min="4" max="26" width="16.29"/>
  </cols>
  <sheetData>
    <row r="1" ht="20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>
        <v>1.0</v>
      </c>
      <c r="B2" s="4" t="s">
        <v>3</v>
      </c>
      <c r="C2" s="4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>
        <v>2.0</v>
      </c>
      <c r="B3" s="4" t="s">
        <v>4</v>
      </c>
      <c r="C3" s="4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3">
        <v>3.0</v>
      </c>
      <c r="B4" s="4" t="s">
        <v>5</v>
      </c>
      <c r="C4" s="4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3">
        <v>4.0</v>
      </c>
      <c r="B5" s="4" t="s">
        <v>7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>
        <v>5.0</v>
      </c>
      <c r="B6" s="4"/>
      <c r="C6" s="4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3">
        <v>6.0</v>
      </c>
      <c r="B7" s="4" t="s">
        <v>9</v>
      </c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3">
        <v>7.0</v>
      </c>
      <c r="B8" s="4" t="s">
        <v>11</v>
      </c>
      <c r="C8" s="5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3">
        <v>8.0</v>
      </c>
      <c r="B9" s="4" t="s">
        <v>13</v>
      </c>
      <c r="C9" s="4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3">
        <v>9.0</v>
      </c>
      <c r="B10" s="4" t="s">
        <v>15</v>
      </c>
      <c r="C10" s="4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3">
        <v>10.0</v>
      </c>
      <c r="B11" s="4" t="s">
        <v>17</v>
      </c>
      <c r="C11" s="4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">
        <v>11.0</v>
      </c>
      <c r="B12" s="4" t="s">
        <v>19</v>
      </c>
      <c r="C12" s="4" t="s">
        <v>20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3">
        <v>12.0</v>
      </c>
      <c r="B13" s="4" t="s">
        <v>21</v>
      </c>
      <c r="C13" s="5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">
        <v>13.0</v>
      </c>
      <c r="B14" s="4" t="s">
        <v>23</v>
      </c>
      <c r="C14" s="4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3">
        <v>14.0</v>
      </c>
      <c r="B15" s="6"/>
      <c r="C15" s="7" t="s">
        <v>15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4">
      <formula1>"Aktiv Novostav s. r. o.,BURNING TECHNOLOGY a. s.,CITYBOX a. s.,INSMOR s. r. o.,VINTECO s. r. o.,SUNFRIO,výpočet,CSE"</formula1>
    </dataValidation>
    <dataValidation type="list" allowBlank="1" showErrorMessage="1" sqref="B2:B3 B5:B10">
      <formula1>"Aktiv Novostav s. r. o.,BURNING TECHNOLOGY a. s.,CITYBOX a. s.,INSMOR s. r. o.,VINTECO s. r. o.,SUNFRIO,výpočet"</formula1>
    </dataValidation>
  </dataValidation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71"/>
    <col customWidth="1" min="2" max="2" width="39.0"/>
    <col customWidth="1" min="3" max="3" width="40.71"/>
    <col customWidth="1" min="4" max="4" width="13.71"/>
    <col customWidth="1" min="5" max="5" width="18.86"/>
    <col customWidth="1" min="6" max="6" width="17.0"/>
    <col customWidth="1" min="7" max="7" width="16.86"/>
    <col customWidth="1" min="8" max="8" width="16.29"/>
    <col customWidth="1" min="9" max="10" width="16.71"/>
    <col customWidth="1" min="11" max="11" width="18.0"/>
    <col customWidth="1" min="12" max="12" width="15.71"/>
    <col customWidth="1" min="13" max="13" width="17.43"/>
    <col customWidth="1" min="14" max="14" width="17.71"/>
    <col customWidth="1" min="15" max="15" width="18.0"/>
    <col customWidth="1" min="16" max="16" width="18.71"/>
    <col customWidth="1" min="17" max="17" width="17.29"/>
    <col customWidth="1" min="18" max="26" width="16.29"/>
  </cols>
  <sheetData>
    <row r="1" ht="13.5" customHeight="1">
      <c r="A1" s="8" t="s">
        <v>24</v>
      </c>
      <c r="B1" s="8" t="s">
        <v>25</v>
      </c>
      <c r="C1" s="8" t="s">
        <v>26</v>
      </c>
      <c r="D1" s="8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36</v>
      </c>
      <c r="N1" s="9" t="s">
        <v>37</v>
      </c>
      <c r="O1" s="9" t="s">
        <v>38</v>
      </c>
      <c r="P1" s="9" t="s">
        <v>39</v>
      </c>
      <c r="Q1" s="9" t="s">
        <v>40</v>
      </c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1" t="s">
        <v>41</v>
      </c>
      <c r="B2" s="11" t="s">
        <v>9</v>
      </c>
      <c r="C2" s="12" t="s">
        <v>42</v>
      </c>
      <c r="D2" s="12" t="s">
        <v>43</v>
      </c>
      <c r="E2" s="13">
        <v>20100.0</v>
      </c>
      <c r="F2" s="13">
        <v>20250.0</v>
      </c>
      <c r="G2" s="13">
        <v>20440.0</v>
      </c>
      <c r="H2" s="14">
        <v>20620.0</v>
      </c>
      <c r="I2" s="14">
        <v>20770.0</v>
      </c>
      <c r="J2" s="14">
        <v>20890.0</v>
      </c>
      <c r="K2" s="14">
        <v>21090.0</v>
      </c>
      <c r="L2" s="13">
        <v>0.0</v>
      </c>
      <c r="M2" s="13">
        <v>0.0</v>
      </c>
      <c r="N2" s="13">
        <v>0.0</v>
      </c>
      <c r="O2" s="13">
        <v>0.0</v>
      </c>
      <c r="P2" s="13">
        <v>0.0</v>
      </c>
      <c r="Q2" s="13">
        <v>0.0</v>
      </c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11" t="s">
        <v>44</v>
      </c>
      <c r="B3" s="11" t="s">
        <v>15</v>
      </c>
      <c r="C3" s="15" t="s">
        <v>45</v>
      </c>
      <c r="D3" s="15" t="s">
        <v>43</v>
      </c>
      <c r="E3" s="13">
        <v>20280.0</v>
      </c>
      <c r="F3" s="13">
        <v>20500.0</v>
      </c>
      <c r="G3" s="13">
        <v>20700.0</v>
      </c>
      <c r="H3" s="14">
        <v>20940.0</v>
      </c>
      <c r="I3" s="14">
        <v>21140.0</v>
      </c>
      <c r="J3" s="14">
        <v>21340.0</v>
      </c>
      <c r="K3" s="14">
        <v>21540.0</v>
      </c>
      <c r="L3" s="13">
        <v>0.0</v>
      </c>
      <c r="M3" s="13">
        <v>0.0</v>
      </c>
      <c r="N3" s="13">
        <v>0.0</v>
      </c>
      <c r="O3" s="13">
        <v>0.0</v>
      </c>
      <c r="P3" s="13">
        <v>0.0</v>
      </c>
      <c r="Q3" s="13">
        <v>0.0</v>
      </c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11" t="s">
        <v>46</v>
      </c>
      <c r="B4" s="11" t="s">
        <v>15</v>
      </c>
      <c r="C4" s="16" t="s">
        <v>47</v>
      </c>
      <c r="D4" s="12" t="s">
        <v>43</v>
      </c>
      <c r="E4" s="13">
        <v>1600.0</v>
      </c>
      <c r="F4" s="13">
        <v>1640.0</v>
      </c>
      <c r="G4" s="13">
        <v>1660.0</v>
      </c>
      <c r="H4" s="14">
        <v>1685.0</v>
      </c>
      <c r="I4" s="14">
        <v>1710.0</v>
      </c>
      <c r="J4" s="14">
        <v>1740.0</v>
      </c>
      <c r="K4" s="14">
        <v>1760.0</v>
      </c>
      <c r="L4" s="13">
        <v>0.0</v>
      </c>
      <c r="M4" s="13">
        <v>0.0</v>
      </c>
      <c r="N4" s="13">
        <v>0.0</v>
      </c>
      <c r="O4" s="13">
        <v>0.0</v>
      </c>
      <c r="P4" s="13">
        <v>0.0</v>
      </c>
      <c r="Q4" s="13">
        <v>0.0</v>
      </c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A5" s="11" t="s">
        <v>48</v>
      </c>
      <c r="B5" s="11" t="s">
        <v>3</v>
      </c>
      <c r="C5" s="15"/>
      <c r="D5" s="15" t="s">
        <v>43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v>0.0</v>
      </c>
      <c r="Q5" s="13">
        <v>0.0</v>
      </c>
      <c r="R5" s="10"/>
      <c r="S5" s="10"/>
      <c r="T5" s="10"/>
      <c r="U5" s="10"/>
      <c r="V5" s="10"/>
      <c r="W5" s="10"/>
      <c r="X5" s="10"/>
      <c r="Y5" s="10"/>
      <c r="Z5" s="10"/>
    </row>
    <row r="6" ht="13.5" customHeight="1">
      <c r="A6" s="11" t="s">
        <v>49</v>
      </c>
      <c r="B6" s="11" t="s">
        <v>3</v>
      </c>
      <c r="C6" s="12"/>
      <c r="D6" s="12" t="s">
        <v>43</v>
      </c>
      <c r="E6" s="13">
        <v>792.0</v>
      </c>
      <c r="F6" s="13">
        <v>800.0</v>
      </c>
      <c r="G6" s="13">
        <v>805.0</v>
      </c>
      <c r="H6" s="14">
        <v>815.0</v>
      </c>
      <c r="I6" s="14">
        <v>821.0</v>
      </c>
      <c r="J6" s="14">
        <v>830.0</v>
      </c>
      <c r="K6" s="14">
        <v>835.0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0"/>
      <c r="S6" s="10"/>
      <c r="T6" s="10"/>
      <c r="U6" s="10"/>
      <c r="V6" s="10"/>
      <c r="W6" s="10"/>
      <c r="X6" s="10"/>
      <c r="Y6" s="10"/>
      <c r="Z6" s="10"/>
    </row>
    <row r="7" ht="13.5" customHeight="1">
      <c r="A7" s="11" t="s">
        <v>50</v>
      </c>
      <c r="B7" s="11" t="s">
        <v>3</v>
      </c>
      <c r="C7" s="15"/>
      <c r="D7" s="15" t="s">
        <v>43</v>
      </c>
      <c r="E7" s="13">
        <v>640.0</v>
      </c>
      <c r="F7" s="13">
        <v>655.0</v>
      </c>
      <c r="G7" s="13">
        <v>670.0</v>
      </c>
      <c r="H7" s="14">
        <v>685.0</v>
      </c>
      <c r="I7" s="14">
        <v>700.0</v>
      </c>
      <c r="J7" s="14">
        <v>715.0</v>
      </c>
      <c r="K7" s="14">
        <v>730.0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3">
        <v>0.0</v>
      </c>
      <c r="R7" s="10"/>
      <c r="S7" s="10"/>
      <c r="T7" s="10"/>
      <c r="U7" s="10"/>
      <c r="V7" s="10"/>
      <c r="W7" s="10"/>
      <c r="X7" s="10"/>
      <c r="Y7" s="10"/>
      <c r="Z7" s="10"/>
    </row>
    <row r="8" ht="13.5" customHeight="1">
      <c r="A8" s="11" t="s">
        <v>51</v>
      </c>
      <c r="B8" s="11" t="s">
        <v>4</v>
      </c>
      <c r="C8" s="12" t="s">
        <v>52</v>
      </c>
      <c r="D8" s="12" t="s">
        <v>43</v>
      </c>
      <c r="E8" s="13">
        <v>860.0</v>
      </c>
      <c r="F8" s="13">
        <v>865.0</v>
      </c>
      <c r="G8" s="13">
        <v>870.0</v>
      </c>
      <c r="H8" s="14">
        <v>875.0</v>
      </c>
      <c r="I8" s="14">
        <v>875.0</v>
      </c>
      <c r="J8" s="14">
        <v>880.0</v>
      </c>
      <c r="K8" s="14">
        <v>885.0</v>
      </c>
      <c r="L8" s="13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0"/>
      <c r="S8" s="10"/>
      <c r="T8" s="10"/>
      <c r="U8" s="10"/>
      <c r="V8" s="10"/>
      <c r="W8" s="10"/>
      <c r="X8" s="10"/>
      <c r="Y8" s="10"/>
      <c r="Z8" s="10"/>
    </row>
    <row r="9" ht="13.5" customHeight="1">
      <c r="A9" s="11" t="s">
        <v>53</v>
      </c>
      <c r="B9" s="11" t="s">
        <v>18</v>
      </c>
      <c r="C9" s="15" t="s">
        <v>54</v>
      </c>
      <c r="D9" s="15" t="s">
        <v>43</v>
      </c>
      <c r="E9" s="13">
        <v>8860.0</v>
      </c>
      <c r="F9" s="13">
        <v>8980.0</v>
      </c>
      <c r="G9" s="13">
        <v>9120.0</v>
      </c>
      <c r="H9" s="14">
        <v>9240.0</v>
      </c>
      <c r="I9" s="14">
        <v>9355.0</v>
      </c>
      <c r="J9" s="14">
        <v>9430.0</v>
      </c>
      <c r="K9" s="14">
        <v>9500.0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11" t="s">
        <v>55</v>
      </c>
      <c r="B10" s="11" t="s">
        <v>18</v>
      </c>
      <c r="C10" s="12" t="s">
        <v>56</v>
      </c>
      <c r="D10" s="12" t="s">
        <v>43</v>
      </c>
      <c r="E10" s="13">
        <v>18120.0</v>
      </c>
      <c r="F10" s="13">
        <v>18140.0</v>
      </c>
      <c r="G10" s="13">
        <v>18175.0</v>
      </c>
      <c r="H10" s="14">
        <v>18210.0</v>
      </c>
      <c r="I10" s="14">
        <v>18250.0</v>
      </c>
      <c r="J10" s="14">
        <v>18280.0</v>
      </c>
      <c r="K10" s="14">
        <v>18320.0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>
      <c r="A11" s="11" t="s">
        <v>57</v>
      </c>
      <c r="B11" s="11" t="s">
        <v>15</v>
      </c>
      <c r="C11" s="15" t="s">
        <v>58</v>
      </c>
      <c r="D11" s="15" t="s">
        <v>43</v>
      </c>
      <c r="E11" s="13">
        <v>288020.0</v>
      </c>
      <c r="F11" s="13">
        <v>288200.0</v>
      </c>
      <c r="G11" s="13">
        <v>288370.0</v>
      </c>
      <c r="H11" s="14">
        <v>288500.0</v>
      </c>
      <c r="I11" s="14">
        <v>288600.0</v>
      </c>
      <c r="J11" s="14">
        <v>288640.0</v>
      </c>
      <c r="K11" s="14">
        <v>288670.0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11" t="s">
        <v>59</v>
      </c>
      <c r="B12" s="11" t="s">
        <v>4</v>
      </c>
      <c r="C12" s="12" t="s">
        <v>60</v>
      </c>
      <c r="D12" s="12" t="s">
        <v>43</v>
      </c>
      <c r="E12" s="13">
        <v>355.0</v>
      </c>
      <c r="F12" s="13">
        <v>355.0</v>
      </c>
      <c r="G12" s="13">
        <v>355.0</v>
      </c>
      <c r="H12" s="14">
        <v>360.0</v>
      </c>
      <c r="I12" s="14">
        <v>360.0</v>
      </c>
      <c r="J12" s="14">
        <v>360.0</v>
      </c>
      <c r="K12" s="14">
        <v>360.0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11" t="s">
        <v>61</v>
      </c>
      <c r="B13" s="11" t="s">
        <v>4</v>
      </c>
      <c r="C13" s="15" t="s">
        <v>62</v>
      </c>
      <c r="D13" s="15" t="s">
        <v>43</v>
      </c>
      <c r="E13" s="13">
        <v>31720.0</v>
      </c>
      <c r="F13" s="13">
        <v>32120.0</v>
      </c>
      <c r="G13" s="13">
        <v>32490.0</v>
      </c>
      <c r="H13" s="14">
        <v>32830.0</v>
      </c>
      <c r="I13" s="14">
        <v>33130.0</v>
      </c>
      <c r="J13" s="14">
        <v>33415.0</v>
      </c>
      <c r="K13" s="14">
        <v>33680.0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11" t="s">
        <v>63</v>
      </c>
      <c r="B14" s="11" t="s">
        <v>5</v>
      </c>
      <c r="C14" s="17" t="s">
        <v>64</v>
      </c>
      <c r="D14" s="12" t="s">
        <v>43</v>
      </c>
      <c r="E14" s="13">
        <v>15120.0</v>
      </c>
      <c r="F14" s="13">
        <v>15130.0</v>
      </c>
      <c r="G14" s="13">
        <v>15140.0</v>
      </c>
      <c r="H14" s="14">
        <v>15155.0</v>
      </c>
      <c r="I14" s="14">
        <v>15175.0</v>
      </c>
      <c r="J14" s="14">
        <v>15215.0</v>
      </c>
      <c r="K14" s="14">
        <v>15250.0</v>
      </c>
      <c r="L14" s="13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11" t="s">
        <v>65</v>
      </c>
      <c r="B15" s="11" t="s">
        <v>5</v>
      </c>
      <c r="C15" s="18" t="s">
        <v>66</v>
      </c>
      <c r="D15" s="15" t="s">
        <v>43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11" t="s">
        <v>67</v>
      </c>
      <c r="B16" s="11" t="s">
        <v>20</v>
      </c>
      <c r="C16" s="12" t="s">
        <v>68</v>
      </c>
      <c r="D16" s="12" t="s">
        <v>43</v>
      </c>
      <c r="E16" s="13">
        <v>4510.0</v>
      </c>
      <c r="F16" s="13">
        <v>4530.0</v>
      </c>
      <c r="G16" s="13">
        <v>4540.0</v>
      </c>
      <c r="H16" s="14">
        <v>4550.0</v>
      </c>
      <c r="I16" s="14">
        <v>4560.0</v>
      </c>
      <c r="J16" s="14">
        <v>4570.0</v>
      </c>
      <c r="K16" s="14">
        <v>4580.0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11" t="s">
        <v>69</v>
      </c>
      <c r="B17" s="11" t="s">
        <v>20</v>
      </c>
      <c r="C17" s="15" t="s">
        <v>56</v>
      </c>
      <c r="D17" s="15" t="s">
        <v>43</v>
      </c>
      <c r="E17" s="13">
        <v>345.0</v>
      </c>
      <c r="F17" s="13">
        <v>350.0</v>
      </c>
      <c r="G17" s="13">
        <v>350.0</v>
      </c>
      <c r="H17" s="14">
        <v>350.0</v>
      </c>
      <c r="I17" s="14">
        <v>350.0</v>
      </c>
      <c r="J17" s="14">
        <v>350.0</v>
      </c>
      <c r="K17" s="14">
        <v>350.0</v>
      </c>
      <c r="L17" s="13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11" t="s">
        <v>70</v>
      </c>
      <c r="B18" s="11" t="s">
        <v>4</v>
      </c>
      <c r="C18" s="12" t="s">
        <v>71</v>
      </c>
      <c r="D18" s="12" t="s">
        <v>43</v>
      </c>
      <c r="E18" s="13">
        <v>114600.0</v>
      </c>
      <c r="F18" s="13">
        <v>114650.0</v>
      </c>
      <c r="G18" s="13">
        <v>114700.0</v>
      </c>
      <c r="H18" s="14">
        <v>114710.0</v>
      </c>
      <c r="I18" s="14">
        <v>114710.0</v>
      </c>
      <c r="J18" s="14">
        <v>114710.0</v>
      </c>
      <c r="K18" s="14">
        <v>114950.0</v>
      </c>
      <c r="L18" s="13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1" t="s">
        <v>72</v>
      </c>
      <c r="B19" s="11" t="s">
        <v>4</v>
      </c>
      <c r="C19" s="15" t="s">
        <v>73</v>
      </c>
      <c r="D19" s="15" t="s">
        <v>43</v>
      </c>
      <c r="E19" s="13">
        <v>3030.0</v>
      </c>
      <c r="F19" s="13">
        <v>3050.0</v>
      </c>
      <c r="G19" s="13">
        <v>3060.0</v>
      </c>
      <c r="H19" s="14">
        <v>3070.0</v>
      </c>
      <c r="I19" s="14">
        <v>3075.0</v>
      </c>
      <c r="J19" s="14">
        <v>3080.0</v>
      </c>
      <c r="K19" s="14">
        <v>3090.0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11" t="s">
        <v>74</v>
      </c>
      <c r="B20" s="11" t="s">
        <v>7</v>
      </c>
      <c r="C20" s="12" t="s">
        <v>75</v>
      </c>
      <c r="D20" s="12" t="s">
        <v>43</v>
      </c>
      <c r="E20" s="13">
        <v>46880.0</v>
      </c>
      <c r="F20" s="13">
        <v>47360.0</v>
      </c>
      <c r="G20" s="13">
        <v>47800.0</v>
      </c>
      <c r="H20" s="14">
        <v>48115.0</v>
      </c>
      <c r="I20" s="14">
        <v>48500.0</v>
      </c>
      <c r="J20" s="14">
        <v>48635.0</v>
      </c>
      <c r="K20" s="14">
        <v>48790.0</v>
      </c>
      <c r="L20" s="13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11" t="s">
        <v>76</v>
      </c>
      <c r="B21" s="11" t="s">
        <v>4</v>
      </c>
      <c r="C21" s="15" t="s">
        <v>77</v>
      </c>
      <c r="D21" s="15" t="s">
        <v>43</v>
      </c>
      <c r="E21" s="13">
        <v>3700.0</v>
      </c>
      <c r="F21" s="13">
        <v>3750.0</v>
      </c>
      <c r="G21" s="13">
        <v>3770.0</v>
      </c>
      <c r="H21" s="14">
        <v>3840.0</v>
      </c>
      <c r="I21" s="14">
        <v>3870.0</v>
      </c>
      <c r="J21" s="14">
        <v>3910.0</v>
      </c>
      <c r="K21" s="14">
        <v>3950.0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11" t="s">
        <v>78</v>
      </c>
      <c r="B22" s="11" t="s">
        <v>4</v>
      </c>
      <c r="C22" s="12" t="s">
        <v>79</v>
      </c>
      <c r="D22" s="12" t="s">
        <v>43</v>
      </c>
      <c r="E22" s="13">
        <v>655.0</v>
      </c>
      <c r="F22" s="13">
        <v>660.0</v>
      </c>
      <c r="G22" s="13">
        <v>660.0</v>
      </c>
      <c r="H22" s="14">
        <v>660.0</v>
      </c>
      <c r="I22" s="14">
        <v>750.0</v>
      </c>
      <c r="J22" s="14">
        <v>830.0</v>
      </c>
      <c r="K22" s="14">
        <v>925.0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11" t="s">
        <v>80</v>
      </c>
      <c r="B23" s="11" t="s">
        <v>5</v>
      </c>
      <c r="C23" s="19" t="s">
        <v>81</v>
      </c>
      <c r="D23" s="15" t="s">
        <v>43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11" t="s">
        <v>82</v>
      </c>
      <c r="B24" s="11" t="s">
        <v>4</v>
      </c>
      <c r="C24" s="12" t="s">
        <v>83</v>
      </c>
      <c r="D24" s="12" t="s">
        <v>43</v>
      </c>
      <c r="E24" s="13">
        <v>890.0</v>
      </c>
      <c r="F24" s="13">
        <v>900.0</v>
      </c>
      <c r="G24" s="13">
        <v>905.0</v>
      </c>
      <c r="H24" s="14">
        <v>905.0</v>
      </c>
      <c r="I24" s="14">
        <v>905.0</v>
      </c>
      <c r="J24" s="14">
        <v>905.0</v>
      </c>
      <c r="K24" s="14">
        <v>910.0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11" t="s">
        <v>84</v>
      </c>
      <c r="B25" s="11" t="s">
        <v>4</v>
      </c>
      <c r="C25" s="15" t="s">
        <v>85</v>
      </c>
      <c r="D25" s="15" t="s">
        <v>43</v>
      </c>
      <c r="E25" s="13">
        <v>805.0</v>
      </c>
      <c r="F25" s="13">
        <v>805.0</v>
      </c>
      <c r="G25" s="13">
        <v>805.0</v>
      </c>
      <c r="H25" s="14">
        <v>805.0</v>
      </c>
      <c r="I25" s="14">
        <v>806.0</v>
      </c>
      <c r="J25" s="14">
        <v>806.0</v>
      </c>
      <c r="K25" s="14">
        <v>815.0</v>
      </c>
      <c r="L25" s="13">
        <v>0.0</v>
      </c>
      <c r="M25" s="13">
        <v>0.0</v>
      </c>
      <c r="N25" s="13">
        <v>0.0</v>
      </c>
      <c r="O25" s="13">
        <v>0.0</v>
      </c>
      <c r="P25" s="13">
        <v>0.0</v>
      </c>
      <c r="Q25" s="13">
        <v>0.0</v>
      </c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11" t="s">
        <v>86</v>
      </c>
      <c r="B26" s="11" t="s">
        <v>15</v>
      </c>
      <c r="C26" s="12" t="s">
        <v>87</v>
      </c>
      <c r="D26" s="12" t="s">
        <v>43</v>
      </c>
      <c r="E26" s="13">
        <v>52960.0</v>
      </c>
      <c r="F26" s="13">
        <v>53250.0</v>
      </c>
      <c r="G26" s="13">
        <v>53550.0</v>
      </c>
      <c r="H26" s="14">
        <v>53800.0</v>
      </c>
      <c r="I26" s="14">
        <v>54010.0</v>
      </c>
      <c r="J26" s="14">
        <v>54200.0</v>
      </c>
      <c r="K26" s="14">
        <v>54340.0</v>
      </c>
      <c r="L26" s="13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11" t="s">
        <v>88</v>
      </c>
      <c r="B27" s="11" t="s">
        <v>15</v>
      </c>
      <c r="C27" s="15" t="s">
        <v>89</v>
      </c>
      <c r="D27" s="15" t="s">
        <v>43</v>
      </c>
      <c r="E27" s="13">
        <v>13730.0</v>
      </c>
      <c r="F27" s="13">
        <v>13850.0</v>
      </c>
      <c r="G27" s="13">
        <v>13900.0</v>
      </c>
      <c r="H27" s="14">
        <v>13990.0</v>
      </c>
      <c r="I27" s="14">
        <v>14050.0</v>
      </c>
      <c r="J27" s="14">
        <v>14105.0</v>
      </c>
      <c r="K27" s="14">
        <v>14160.0</v>
      </c>
      <c r="L27" s="13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11" t="s">
        <v>90</v>
      </c>
      <c r="B28" s="11" t="s">
        <v>4</v>
      </c>
      <c r="C28" s="12" t="s">
        <v>91</v>
      </c>
      <c r="D28" s="12" t="s">
        <v>43</v>
      </c>
      <c r="E28" s="13">
        <v>1485.0</v>
      </c>
      <c r="F28" s="13">
        <v>1495.0</v>
      </c>
      <c r="G28" s="13">
        <v>1525.0</v>
      </c>
      <c r="H28" s="14">
        <v>1545.0</v>
      </c>
      <c r="I28" s="14">
        <v>1555.0</v>
      </c>
      <c r="J28" s="14">
        <v>1580.0</v>
      </c>
      <c r="K28" s="14">
        <v>1615.0</v>
      </c>
      <c r="L28" s="13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11" t="s">
        <v>92</v>
      </c>
      <c r="B29" s="11" t="s">
        <v>11</v>
      </c>
      <c r="C29" s="15" t="s">
        <v>93</v>
      </c>
      <c r="D29" s="15" t="s">
        <v>43</v>
      </c>
      <c r="E29" s="13">
        <v>1920.0</v>
      </c>
      <c r="F29" s="13">
        <v>1920.0</v>
      </c>
      <c r="G29" s="13">
        <v>1920.0</v>
      </c>
      <c r="H29" s="14">
        <v>1920.0</v>
      </c>
      <c r="I29" s="14">
        <v>1920.0</v>
      </c>
      <c r="J29" s="14">
        <v>1920.0</v>
      </c>
      <c r="K29" s="14">
        <v>1920.0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11" t="s">
        <v>94</v>
      </c>
      <c r="B30" s="11" t="s">
        <v>4</v>
      </c>
      <c r="C30" s="12" t="s">
        <v>95</v>
      </c>
      <c r="D30" s="12" t="s">
        <v>43</v>
      </c>
      <c r="E30" s="13">
        <v>7800.0</v>
      </c>
      <c r="F30" s="13">
        <v>7800.0</v>
      </c>
      <c r="G30" s="13">
        <v>7800.0</v>
      </c>
      <c r="H30" s="14">
        <v>7800.0</v>
      </c>
      <c r="I30" s="14">
        <v>7800.0</v>
      </c>
      <c r="J30" s="14">
        <v>7800.0</v>
      </c>
      <c r="K30" s="14">
        <v>7800.0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1" t="s">
        <v>96</v>
      </c>
      <c r="B31" s="11" t="s">
        <v>4</v>
      </c>
      <c r="C31" s="15" t="s">
        <v>97</v>
      </c>
      <c r="D31" s="15" t="s">
        <v>43</v>
      </c>
      <c r="E31" s="13">
        <v>605.0</v>
      </c>
      <c r="F31" s="13">
        <v>605.0</v>
      </c>
      <c r="G31" s="13">
        <v>605.0</v>
      </c>
      <c r="H31" s="14">
        <v>605.0</v>
      </c>
      <c r="I31" s="14">
        <v>605.0</v>
      </c>
      <c r="J31" s="14">
        <v>605.0</v>
      </c>
      <c r="K31" s="14">
        <v>605.0</v>
      </c>
      <c r="L31" s="13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>
      <c r="A32" s="11" t="s">
        <v>98</v>
      </c>
      <c r="B32" s="11" t="s">
        <v>4</v>
      </c>
      <c r="C32" s="12" t="s">
        <v>99</v>
      </c>
      <c r="D32" s="12" t="s">
        <v>43</v>
      </c>
      <c r="E32" s="13">
        <v>8820.0</v>
      </c>
      <c r="F32" s="13">
        <v>8820.0</v>
      </c>
      <c r="G32" s="13">
        <v>8820.0</v>
      </c>
      <c r="H32" s="14">
        <v>8820.0</v>
      </c>
      <c r="I32" s="14">
        <v>8820.0</v>
      </c>
      <c r="J32" s="14">
        <v>8820.0</v>
      </c>
      <c r="K32" s="14">
        <v>8820.0</v>
      </c>
      <c r="L32" s="13">
        <v>0.0</v>
      </c>
      <c r="M32" s="13">
        <v>0.0</v>
      </c>
      <c r="N32" s="13">
        <v>0.0</v>
      </c>
      <c r="O32" s="13">
        <v>0.0</v>
      </c>
      <c r="P32" s="13">
        <v>0.0</v>
      </c>
      <c r="Q32" s="13">
        <v>0.0</v>
      </c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11" t="s">
        <v>100</v>
      </c>
      <c r="B33" s="11" t="s">
        <v>4</v>
      </c>
      <c r="C33" s="15" t="s">
        <v>101</v>
      </c>
      <c r="D33" s="15" t="s">
        <v>43</v>
      </c>
      <c r="E33" s="13">
        <v>1320.0</v>
      </c>
      <c r="F33" s="13">
        <v>1330.0</v>
      </c>
      <c r="G33" s="13">
        <v>1330.0</v>
      </c>
      <c r="H33" s="14">
        <v>1330.0</v>
      </c>
      <c r="I33" s="14">
        <v>1330.0</v>
      </c>
      <c r="J33" s="14">
        <v>1340.0</v>
      </c>
      <c r="K33" s="14">
        <v>1340.0</v>
      </c>
      <c r="L33" s="13">
        <v>0.0</v>
      </c>
      <c r="M33" s="13">
        <v>0.0</v>
      </c>
      <c r="N33" s="13">
        <v>0.0</v>
      </c>
      <c r="O33" s="13">
        <v>0.0</v>
      </c>
      <c r="P33" s="13">
        <v>0.0</v>
      </c>
      <c r="Q33" s="13">
        <v>0.0</v>
      </c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11" t="s">
        <v>102</v>
      </c>
      <c r="B34" s="11" t="s">
        <v>15</v>
      </c>
      <c r="C34" s="12" t="s">
        <v>103</v>
      </c>
      <c r="D34" s="12" t="s">
        <v>43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3">
        <v>0.0</v>
      </c>
      <c r="Q34" s="13">
        <v>0.0</v>
      </c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20"/>
      <c r="B35" s="20"/>
      <c r="C35" s="20"/>
      <c r="D35" s="2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21" t="s">
        <v>104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22"/>
      <c r="B36" s="22"/>
      <c r="C36" s="22"/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2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8" t="s">
        <v>105</v>
      </c>
      <c r="B37" s="8" t="s">
        <v>25</v>
      </c>
      <c r="C37" s="8" t="s">
        <v>26</v>
      </c>
      <c r="D37" s="8" t="s">
        <v>106</v>
      </c>
      <c r="E37" s="24" t="s">
        <v>107</v>
      </c>
      <c r="F37" s="24" t="s">
        <v>108</v>
      </c>
      <c r="G37" s="24" t="s">
        <v>109</v>
      </c>
      <c r="H37" s="24" t="s">
        <v>110</v>
      </c>
      <c r="I37" s="24" t="s">
        <v>111</v>
      </c>
      <c r="J37" s="24" t="s">
        <v>112</v>
      </c>
      <c r="K37" s="24" t="s">
        <v>113</v>
      </c>
      <c r="L37" s="24" t="s">
        <v>114</v>
      </c>
      <c r="M37" s="24" t="s">
        <v>115</v>
      </c>
      <c r="N37" s="24" t="s">
        <v>116</v>
      </c>
      <c r="O37" s="24" t="s">
        <v>117</v>
      </c>
      <c r="P37" s="24" t="s">
        <v>118</v>
      </c>
      <c r="Q37" s="8" t="s">
        <v>119</v>
      </c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11" t="str">
        <f t="shared" ref="A38:A70" si="2">$A2</f>
        <v>E_A1</v>
      </c>
      <c r="B38" s="11" t="str">
        <f t="shared" ref="B38:B52" si="3">B2</f>
        <v>ONE KLIMA, s. r. o.</v>
      </c>
      <c r="C38" s="25"/>
      <c r="D38" s="26">
        <v>1.0</v>
      </c>
      <c r="E38" s="26">
        <f t="shared" ref="E38:P38" si="1">$D38*IF(F2=0,0,(F2-E2))</f>
        <v>150</v>
      </c>
      <c r="F38" s="26">
        <f t="shared" si="1"/>
        <v>190</v>
      </c>
      <c r="G38" s="26">
        <f t="shared" si="1"/>
        <v>180</v>
      </c>
      <c r="H38" s="26">
        <f t="shared" si="1"/>
        <v>150</v>
      </c>
      <c r="I38" s="26">
        <f t="shared" si="1"/>
        <v>120</v>
      </c>
      <c r="J38" s="26">
        <f t="shared" si="1"/>
        <v>200</v>
      </c>
      <c r="K38" s="26">
        <f t="shared" si="1"/>
        <v>0</v>
      </c>
      <c r="L38" s="26">
        <f t="shared" si="1"/>
        <v>0</v>
      </c>
      <c r="M38" s="26">
        <f t="shared" si="1"/>
        <v>0</v>
      </c>
      <c r="N38" s="26">
        <f t="shared" si="1"/>
        <v>0</v>
      </c>
      <c r="O38" s="26">
        <f t="shared" si="1"/>
        <v>0</v>
      </c>
      <c r="P38" s="26">
        <f t="shared" si="1"/>
        <v>0</v>
      </c>
      <c r="Q38" s="27">
        <v>46204.0</v>
      </c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>
      <c r="A39" s="11" t="str">
        <f t="shared" si="2"/>
        <v>E_AB1</v>
      </c>
      <c r="B39" s="11" t="str">
        <f t="shared" si="3"/>
        <v>výpočet</v>
      </c>
      <c r="C39" s="28"/>
      <c r="D39" s="29">
        <v>1.0</v>
      </c>
      <c r="E39" s="29">
        <f t="shared" ref="E39:P39" si="4">$D39*IF(F3=0,0,(F3-E3))</f>
        <v>220</v>
      </c>
      <c r="F39" s="29">
        <f t="shared" si="4"/>
        <v>200</v>
      </c>
      <c r="G39" s="29">
        <f t="shared" si="4"/>
        <v>240</v>
      </c>
      <c r="H39" s="29">
        <f t="shared" si="4"/>
        <v>200</v>
      </c>
      <c r="I39" s="29">
        <f t="shared" si="4"/>
        <v>200</v>
      </c>
      <c r="J39" s="29">
        <f t="shared" si="4"/>
        <v>200</v>
      </c>
      <c r="K39" s="29">
        <f t="shared" si="4"/>
        <v>0</v>
      </c>
      <c r="L39" s="29">
        <f t="shared" si="4"/>
        <v>0</v>
      </c>
      <c r="M39" s="29">
        <f t="shared" si="4"/>
        <v>0</v>
      </c>
      <c r="N39" s="29">
        <f t="shared" si="4"/>
        <v>0</v>
      </c>
      <c r="O39" s="29">
        <f t="shared" si="4"/>
        <v>0</v>
      </c>
      <c r="P39" s="29">
        <f t="shared" si="4"/>
        <v>0</v>
      </c>
      <c r="Q39" s="30">
        <f t="shared" ref="Q39:Q70" si="6">$Q$38</f>
        <v>46204</v>
      </c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1" t="str">
        <f t="shared" si="2"/>
        <v>E_AB1_10</v>
      </c>
      <c r="B40" s="11" t="str">
        <f t="shared" si="3"/>
        <v>výpočet</v>
      </c>
      <c r="C40" s="31" t="s">
        <v>15</v>
      </c>
      <c r="D40" s="26">
        <v>1.0</v>
      </c>
      <c r="E40" s="26">
        <f t="shared" ref="E40:P40" si="5">$D40*IF(F4=0,0,(F4-E4))-E42-E43</f>
        <v>17</v>
      </c>
      <c r="F40" s="26">
        <f t="shared" si="5"/>
        <v>0</v>
      </c>
      <c r="G40" s="26">
        <f t="shared" si="5"/>
        <v>0</v>
      </c>
      <c r="H40" s="26">
        <f t="shared" si="5"/>
        <v>4</v>
      </c>
      <c r="I40" s="26">
        <f t="shared" si="5"/>
        <v>6</v>
      </c>
      <c r="J40" s="26">
        <f t="shared" si="5"/>
        <v>0</v>
      </c>
      <c r="K40" s="26">
        <f t="shared" si="5"/>
        <v>0</v>
      </c>
      <c r="L40" s="26">
        <f t="shared" si="5"/>
        <v>0</v>
      </c>
      <c r="M40" s="26">
        <f t="shared" si="5"/>
        <v>0</v>
      </c>
      <c r="N40" s="26">
        <f t="shared" si="5"/>
        <v>0</v>
      </c>
      <c r="O40" s="26">
        <f t="shared" si="5"/>
        <v>0</v>
      </c>
      <c r="P40" s="26">
        <f t="shared" si="5"/>
        <v>0</v>
      </c>
      <c r="Q40" s="32">
        <f t="shared" si="6"/>
        <v>46204</v>
      </c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>
      <c r="A41" s="11" t="str">
        <f t="shared" si="2"/>
        <v>E_AB1_08</v>
      </c>
      <c r="B41" s="11" t="str">
        <f t="shared" si="3"/>
        <v>Aktiv Novostav s. r. o.</v>
      </c>
      <c r="C41" s="28"/>
      <c r="D41" s="29">
        <v>1.0</v>
      </c>
      <c r="E41" s="29">
        <f t="shared" ref="E41:P41" si="7">$D41*IF(F5=0,0,(F5-E5))</f>
        <v>0</v>
      </c>
      <c r="F41" s="29">
        <f t="shared" si="7"/>
        <v>0</v>
      </c>
      <c r="G41" s="29">
        <f t="shared" si="7"/>
        <v>0</v>
      </c>
      <c r="H41" s="29">
        <f t="shared" si="7"/>
        <v>0</v>
      </c>
      <c r="I41" s="29">
        <f t="shared" si="7"/>
        <v>0</v>
      </c>
      <c r="J41" s="29">
        <f t="shared" si="7"/>
        <v>0</v>
      </c>
      <c r="K41" s="29">
        <f t="shared" si="7"/>
        <v>0</v>
      </c>
      <c r="L41" s="29">
        <f t="shared" si="7"/>
        <v>0</v>
      </c>
      <c r="M41" s="29">
        <f t="shared" si="7"/>
        <v>0</v>
      </c>
      <c r="N41" s="29">
        <f t="shared" si="7"/>
        <v>0</v>
      </c>
      <c r="O41" s="29">
        <f t="shared" si="7"/>
        <v>0</v>
      </c>
      <c r="P41" s="29">
        <f t="shared" si="7"/>
        <v>0</v>
      </c>
      <c r="Q41" s="30">
        <f t="shared" si="6"/>
        <v>46204</v>
      </c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>
      <c r="A42" s="11" t="str">
        <f t="shared" si="2"/>
        <v>E_AB1_11</v>
      </c>
      <c r="B42" s="11" t="str">
        <f t="shared" si="3"/>
        <v>Aktiv Novostav s. r. o.</v>
      </c>
      <c r="C42" s="25"/>
      <c r="D42" s="26">
        <v>1.0</v>
      </c>
      <c r="E42" s="26">
        <f t="shared" ref="E42:P42" si="8">$D42*IF(F6=0,0,(F6-E6))</f>
        <v>8</v>
      </c>
      <c r="F42" s="26">
        <f t="shared" si="8"/>
        <v>5</v>
      </c>
      <c r="G42" s="26">
        <f t="shared" si="8"/>
        <v>10</v>
      </c>
      <c r="H42" s="26">
        <f t="shared" si="8"/>
        <v>6</v>
      </c>
      <c r="I42" s="26">
        <f t="shared" si="8"/>
        <v>9</v>
      </c>
      <c r="J42" s="26">
        <f t="shared" si="8"/>
        <v>5</v>
      </c>
      <c r="K42" s="26">
        <f t="shared" si="8"/>
        <v>0</v>
      </c>
      <c r="L42" s="26">
        <f t="shared" si="8"/>
        <v>0</v>
      </c>
      <c r="M42" s="26">
        <f t="shared" si="8"/>
        <v>0</v>
      </c>
      <c r="N42" s="26">
        <f t="shared" si="8"/>
        <v>0</v>
      </c>
      <c r="O42" s="26">
        <f t="shared" si="8"/>
        <v>0</v>
      </c>
      <c r="P42" s="26">
        <f t="shared" si="8"/>
        <v>0</v>
      </c>
      <c r="Q42" s="32">
        <f t="shared" si="6"/>
        <v>46204</v>
      </c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11" t="str">
        <f t="shared" si="2"/>
        <v>E_AB1_12</v>
      </c>
      <c r="B43" s="11" t="str">
        <f t="shared" si="3"/>
        <v>Aktiv Novostav s. r. o.</v>
      </c>
      <c r="C43" s="28"/>
      <c r="D43" s="29">
        <v>1.0</v>
      </c>
      <c r="E43" s="29">
        <f t="shared" ref="E43:P43" si="9">$D43*IF(F7=0,0,(F7-E7))</f>
        <v>15</v>
      </c>
      <c r="F43" s="29">
        <f t="shared" si="9"/>
        <v>15</v>
      </c>
      <c r="G43" s="29">
        <f t="shared" si="9"/>
        <v>15</v>
      </c>
      <c r="H43" s="29">
        <f t="shared" si="9"/>
        <v>15</v>
      </c>
      <c r="I43" s="29">
        <f t="shared" si="9"/>
        <v>15</v>
      </c>
      <c r="J43" s="29">
        <f t="shared" si="9"/>
        <v>15</v>
      </c>
      <c r="K43" s="29">
        <f t="shared" si="9"/>
        <v>0</v>
      </c>
      <c r="L43" s="29">
        <f t="shared" si="9"/>
        <v>0</v>
      </c>
      <c r="M43" s="29">
        <f t="shared" si="9"/>
        <v>0</v>
      </c>
      <c r="N43" s="29">
        <f t="shared" si="9"/>
        <v>0</v>
      </c>
      <c r="O43" s="29">
        <f t="shared" si="9"/>
        <v>0</v>
      </c>
      <c r="P43" s="29">
        <f t="shared" si="9"/>
        <v>0</v>
      </c>
      <c r="Q43" s="30">
        <f t="shared" si="6"/>
        <v>46204</v>
      </c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11" t="str">
        <f t="shared" si="2"/>
        <v>E_AB1_18</v>
      </c>
      <c r="B44" s="11" t="str">
        <f t="shared" si="3"/>
        <v>BURNING TECHNOLOGY a. s.</v>
      </c>
      <c r="C44" s="25"/>
      <c r="D44" s="26">
        <v>1.0</v>
      </c>
      <c r="E44" s="26">
        <f t="shared" ref="E44:P44" si="10">$D44*IF(F8=0,0,(F8-E8))</f>
        <v>5</v>
      </c>
      <c r="F44" s="26">
        <f t="shared" si="10"/>
        <v>5</v>
      </c>
      <c r="G44" s="26">
        <f t="shared" si="10"/>
        <v>5</v>
      </c>
      <c r="H44" s="26">
        <f t="shared" si="10"/>
        <v>0</v>
      </c>
      <c r="I44" s="26">
        <f t="shared" si="10"/>
        <v>5</v>
      </c>
      <c r="J44" s="26">
        <f t="shared" si="10"/>
        <v>5</v>
      </c>
      <c r="K44" s="26">
        <f t="shared" si="10"/>
        <v>0</v>
      </c>
      <c r="L44" s="26">
        <f t="shared" si="10"/>
        <v>0</v>
      </c>
      <c r="M44" s="26">
        <f t="shared" si="10"/>
        <v>0</v>
      </c>
      <c r="N44" s="26">
        <f t="shared" si="10"/>
        <v>0</v>
      </c>
      <c r="O44" s="26">
        <f t="shared" si="10"/>
        <v>0</v>
      </c>
      <c r="P44" s="26">
        <f t="shared" si="10"/>
        <v>0</v>
      </c>
      <c r="Q44" s="32">
        <f t="shared" si="6"/>
        <v>46204</v>
      </c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11" t="str">
        <f t="shared" si="2"/>
        <v>E_AB1_22</v>
      </c>
      <c r="B45" s="11" t="str">
        <f t="shared" si="3"/>
        <v>MV Active s.r.o.</v>
      </c>
      <c r="C45" s="28"/>
      <c r="D45" s="29">
        <v>1.0</v>
      </c>
      <c r="E45" s="29">
        <f t="shared" ref="E45:P45" si="11">$D45*IF(F9=0,0,(F9-E9))</f>
        <v>120</v>
      </c>
      <c r="F45" s="29">
        <f t="shared" si="11"/>
        <v>140</v>
      </c>
      <c r="G45" s="29">
        <f t="shared" si="11"/>
        <v>120</v>
      </c>
      <c r="H45" s="29">
        <f t="shared" si="11"/>
        <v>115</v>
      </c>
      <c r="I45" s="29">
        <f t="shared" si="11"/>
        <v>75</v>
      </c>
      <c r="J45" s="29">
        <f t="shared" si="11"/>
        <v>70</v>
      </c>
      <c r="K45" s="29">
        <f t="shared" si="11"/>
        <v>0</v>
      </c>
      <c r="L45" s="29">
        <f t="shared" si="11"/>
        <v>0</v>
      </c>
      <c r="M45" s="29">
        <f t="shared" si="11"/>
        <v>0</v>
      </c>
      <c r="N45" s="29">
        <f t="shared" si="11"/>
        <v>0</v>
      </c>
      <c r="O45" s="29">
        <f t="shared" si="11"/>
        <v>0</v>
      </c>
      <c r="P45" s="29">
        <f t="shared" si="11"/>
        <v>0</v>
      </c>
      <c r="Q45" s="30">
        <f t="shared" si="6"/>
        <v>46204</v>
      </c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11" t="str">
        <f t="shared" si="2"/>
        <v>E_AB1_23</v>
      </c>
      <c r="B46" s="11" t="str">
        <f t="shared" si="3"/>
        <v>MV Active s.r.o.</v>
      </c>
      <c r="C46" s="25"/>
      <c r="D46" s="26">
        <v>1.0</v>
      </c>
      <c r="E46" s="26">
        <f t="shared" ref="E46:P46" si="12">$D46*IF(F10=0,0,(F10-E10))</f>
        <v>20</v>
      </c>
      <c r="F46" s="26">
        <f t="shared" si="12"/>
        <v>35</v>
      </c>
      <c r="G46" s="26">
        <f t="shared" si="12"/>
        <v>35</v>
      </c>
      <c r="H46" s="26">
        <f t="shared" si="12"/>
        <v>40</v>
      </c>
      <c r="I46" s="26">
        <f t="shared" si="12"/>
        <v>30</v>
      </c>
      <c r="J46" s="26">
        <f t="shared" si="12"/>
        <v>40</v>
      </c>
      <c r="K46" s="26">
        <f t="shared" si="12"/>
        <v>0</v>
      </c>
      <c r="L46" s="26">
        <f t="shared" si="12"/>
        <v>0</v>
      </c>
      <c r="M46" s="26">
        <f t="shared" si="12"/>
        <v>0</v>
      </c>
      <c r="N46" s="26">
        <f t="shared" si="12"/>
        <v>0</v>
      </c>
      <c r="O46" s="26">
        <f t="shared" si="12"/>
        <v>0</v>
      </c>
      <c r="P46" s="26">
        <f t="shared" si="12"/>
        <v>0</v>
      </c>
      <c r="Q46" s="32">
        <f t="shared" si="6"/>
        <v>46204</v>
      </c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11" t="str">
        <f t="shared" si="2"/>
        <v>E_AB1_25</v>
      </c>
      <c r="B47" s="11" t="str">
        <f t="shared" si="3"/>
        <v>výpočet</v>
      </c>
      <c r="C47" s="33" t="s">
        <v>120</v>
      </c>
      <c r="D47" s="29">
        <v>1.0</v>
      </c>
      <c r="E47" s="29">
        <f t="shared" ref="E47:P47" si="13">$D47*IF(F11=0,0,(F11-E11))</f>
        <v>180</v>
      </c>
      <c r="F47" s="29">
        <f t="shared" si="13"/>
        <v>170</v>
      </c>
      <c r="G47" s="29">
        <f t="shared" si="13"/>
        <v>130</v>
      </c>
      <c r="H47" s="29">
        <f t="shared" si="13"/>
        <v>100</v>
      </c>
      <c r="I47" s="29">
        <f t="shared" si="13"/>
        <v>40</v>
      </c>
      <c r="J47" s="29">
        <f t="shared" si="13"/>
        <v>30</v>
      </c>
      <c r="K47" s="29">
        <f t="shared" si="13"/>
        <v>0</v>
      </c>
      <c r="L47" s="29">
        <f t="shared" si="13"/>
        <v>0</v>
      </c>
      <c r="M47" s="29">
        <f t="shared" si="13"/>
        <v>0</v>
      </c>
      <c r="N47" s="29">
        <f t="shared" si="13"/>
        <v>0</v>
      </c>
      <c r="O47" s="29">
        <f t="shared" si="13"/>
        <v>0</v>
      </c>
      <c r="P47" s="29">
        <f t="shared" si="13"/>
        <v>0</v>
      </c>
      <c r="Q47" s="30">
        <f t="shared" si="6"/>
        <v>46204</v>
      </c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11" t="str">
        <f t="shared" si="2"/>
        <v>E_AB1_27</v>
      </c>
      <c r="B48" s="11" t="str">
        <f t="shared" si="3"/>
        <v>BURNING TECHNOLOGY a. s.</v>
      </c>
      <c r="C48" s="25"/>
      <c r="D48" s="26">
        <v>1.0</v>
      </c>
      <c r="E48" s="26">
        <f t="shared" ref="E48:P48" si="14">$D48*IF(F12=0,0,(F12-E12))</f>
        <v>0</v>
      </c>
      <c r="F48" s="26">
        <f t="shared" si="14"/>
        <v>0</v>
      </c>
      <c r="G48" s="26">
        <f t="shared" si="14"/>
        <v>5</v>
      </c>
      <c r="H48" s="26">
        <f t="shared" si="14"/>
        <v>0</v>
      </c>
      <c r="I48" s="26">
        <f t="shared" si="14"/>
        <v>0</v>
      </c>
      <c r="J48" s="26">
        <f t="shared" si="14"/>
        <v>0</v>
      </c>
      <c r="K48" s="26">
        <f t="shared" si="14"/>
        <v>0</v>
      </c>
      <c r="L48" s="26">
        <f t="shared" si="14"/>
        <v>0</v>
      </c>
      <c r="M48" s="26">
        <f t="shared" si="14"/>
        <v>0</v>
      </c>
      <c r="N48" s="26">
        <f t="shared" si="14"/>
        <v>0</v>
      </c>
      <c r="O48" s="26">
        <f t="shared" si="14"/>
        <v>0</v>
      </c>
      <c r="P48" s="26">
        <f t="shared" si="14"/>
        <v>0</v>
      </c>
      <c r="Q48" s="32">
        <f t="shared" si="6"/>
        <v>46204</v>
      </c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1" t="str">
        <f t="shared" si="2"/>
        <v>E_AB2</v>
      </c>
      <c r="B49" s="11" t="str">
        <f t="shared" si="3"/>
        <v>BURNING TECHNOLOGY a. s.</v>
      </c>
      <c r="C49" s="28"/>
      <c r="D49" s="29">
        <v>1.0</v>
      </c>
      <c r="E49" s="29">
        <f t="shared" ref="E49:P49" si="15">$D49*IF(F13=0,0,(F13-E13))</f>
        <v>400</v>
      </c>
      <c r="F49" s="29">
        <f t="shared" si="15"/>
        <v>370</v>
      </c>
      <c r="G49" s="29">
        <f t="shared" si="15"/>
        <v>340</v>
      </c>
      <c r="H49" s="29">
        <f t="shared" si="15"/>
        <v>300</v>
      </c>
      <c r="I49" s="29">
        <f t="shared" si="15"/>
        <v>285</v>
      </c>
      <c r="J49" s="29">
        <f t="shared" si="15"/>
        <v>265</v>
      </c>
      <c r="K49" s="29">
        <f t="shared" si="15"/>
        <v>0</v>
      </c>
      <c r="L49" s="29">
        <f t="shared" si="15"/>
        <v>0</v>
      </c>
      <c r="M49" s="29">
        <f t="shared" si="15"/>
        <v>0</v>
      </c>
      <c r="N49" s="29">
        <f t="shared" si="15"/>
        <v>0</v>
      </c>
      <c r="O49" s="29">
        <f t="shared" si="15"/>
        <v>0</v>
      </c>
      <c r="P49" s="29">
        <f t="shared" si="15"/>
        <v>0</v>
      </c>
      <c r="Q49" s="30">
        <f t="shared" si="6"/>
        <v>46204</v>
      </c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1" t="str">
        <f t="shared" si="2"/>
        <v>E_AB3</v>
      </c>
      <c r="B50" s="11" t="str">
        <f t="shared" si="3"/>
        <v>CSE</v>
      </c>
      <c r="C50" s="25"/>
      <c r="D50" s="26">
        <v>1.0</v>
      </c>
      <c r="E50" s="26">
        <f t="shared" ref="E50:P50" si="16">$D50*IF(F14=0,0,(F14-E14))</f>
        <v>10</v>
      </c>
      <c r="F50" s="26">
        <f t="shared" si="16"/>
        <v>10</v>
      </c>
      <c r="G50" s="26">
        <f t="shared" si="16"/>
        <v>15</v>
      </c>
      <c r="H50" s="26">
        <f t="shared" si="16"/>
        <v>20</v>
      </c>
      <c r="I50" s="26">
        <f t="shared" si="16"/>
        <v>40</v>
      </c>
      <c r="J50" s="26">
        <f t="shared" si="16"/>
        <v>35</v>
      </c>
      <c r="K50" s="26">
        <f t="shared" si="16"/>
        <v>0</v>
      </c>
      <c r="L50" s="26">
        <f t="shared" si="16"/>
        <v>0</v>
      </c>
      <c r="M50" s="26">
        <f t="shared" si="16"/>
        <v>0</v>
      </c>
      <c r="N50" s="26">
        <f t="shared" si="16"/>
        <v>0</v>
      </c>
      <c r="O50" s="26">
        <f t="shared" si="16"/>
        <v>0</v>
      </c>
      <c r="P50" s="26">
        <f t="shared" si="16"/>
        <v>0</v>
      </c>
      <c r="Q50" s="32">
        <f t="shared" si="6"/>
        <v>46204</v>
      </c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1" t="str">
        <f t="shared" si="2"/>
        <v>E_AB4</v>
      </c>
      <c r="B51" s="11" t="str">
        <f t="shared" si="3"/>
        <v>CSE</v>
      </c>
      <c r="C51" s="28"/>
      <c r="D51" s="29">
        <v>1.0</v>
      </c>
      <c r="E51" s="29">
        <f t="shared" ref="E51:P51" si="17">$D51*IF(F15=0,0,(F15-E15))</f>
        <v>0</v>
      </c>
      <c r="F51" s="29">
        <f t="shared" si="17"/>
        <v>0</v>
      </c>
      <c r="G51" s="29">
        <f t="shared" si="17"/>
        <v>0</v>
      </c>
      <c r="H51" s="29">
        <f t="shared" si="17"/>
        <v>0</v>
      </c>
      <c r="I51" s="29">
        <f t="shared" si="17"/>
        <v>0</v>
      </c>
      <c r="J51" s="29">
        <f t="shared" si="17"/>
        <v>0</v>
      </c>
      <c r="K51" s="29">
        <f t="shared" si="17"/>
        <v>0</v>
      </c>
      <c r="L51" s="29">
        <f t="shared" si="17"/>
        <v>0</v>
      </c>
      <c r="M51" s="29">
        <f t="shared" si="17"/>
        <v>0</v>
      </c>
      <c r="N51" s="29">
        <f t="shared" si="17"/>
        <v>0</v>
      </c>
      <c r="O51" s="29">
        <f t="shared" si="17"/>
        <v>0</v>
      </c>
      <c r="P51" s="29">
        <f t="shared" si="17"/>
        <v>0</v>
      </c>
      <c r="Q51" s="30">
        <f t="shared" si="6"/>
        <v>46204</v>
      </c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1" t="str">
        <f t="shared" si="2"/>
        <v>E_B1</v>
      </c>
      <c r="B52" s="11" t="str">
        <f t="shared" si="3"/>
        <v>ONE KLIMA s. r. o.</v>
      </c>
      <c r="C52" s="25"/>
      <c r="D52" s="26">
        <v>1.0</v>
      </c>
      <c r="E52" s="29">
        <f t="shared" ref="E52:H52" si="18">$D52*IF(F16=0,0,(F16-E16))</f>
        <v>20</v>
      </c>
      <c r="F52" s="29">
        <f t="shared" si="18"/>
        <v>10</v>
      </c>
      <c r="G52" s="29">
        <f t="shared" si="18"/>
        <v>10</v>
      </c>
      <c r="H52" s="29">
        <f t="shared" si="18"/>
        <v>10</v>
      </c>
      <c r="I52" s="29">
        <f>$D52*IF(J16=0,0,(J16-I16))-I65</f>
        <v>10</v>
      </c>
      <c r="J52" s="29">
        <f t="shared" ref="J52:P52" si="19">$D52*IF(K16=0,0,(K16-J16))</f>
        <v>10</v>
      </c>
      <c r="K52" s="29">
        <f t="shared" si="19"/>
        <v>0</v>
      </c>
      <c r="L52" s="29">
        <f t="shared" si="19"/>
        <v>0</v>
      </c>
      <c r="M52" s="29">
        <f t="shared" si="19"/>
        <v>0</v>
      </c>
      <c r="N52" s="29">
        <f t="shared" si="19"/>
        <v>0</v>
      </c>
      <c r="O52" s="29">
        <f t="shared" si="19"/>
        <v>0</v>
      </c>
      <c r="P52" s="29">
        <f t="shared" si="19"/>
        <v>0</v>
      </c>
      <c r="Q52" s="32">
        <f t="shared" si="6"/>
        <v>46204</v>
      </c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1" t="str">
        <f t="shared" si="2"/>
        <v>E_B1A</v>
      </c>
      <c r="B53" s="11" t="str">
        <f>$B17</f>
        <v>ONE KLIMA s. r. o.</v>
      </c>
      <c r="C53" s="33" t="s">
        <v>56</v>
      </c>
      <c r="D53" s="29">
        <v>1.0</v>
      </c>
      <c r="E53" s="29">
        <f t="shared" ref="E53:P53" si="20">$D53*IF(F17=0,0,(F17-E17))</f>
        <v>5</v>
      </c>
      <c r="F53" s="29">
        <f t="shared" si="20"/>
        <v>0</v>
      </c>
      <c r="G53" s="29">
        <f t="shared" si="20"/>
        <v>0</v>
      </c>
      <c r="H53" s="29">
        <f t="shared" si="20"/>
        <v>0</v>
      </c>
      <c r="I53" s="29">
        <f t="shared" si="20"/>
        <v>0</v>
      </c>
      <c r="J53" s="29">
        <f t="shared" si="20"/>
        <v>0</v>
      </c>
      <c r="K53" s="29">
        <f t="shared" si="20"/>
        <v>0</v>
      </c>
      <c r="L53" s="29">
        <f t="shared" si="20"/>
        <v>0</v>
      </c>
      <c r="M53" s="29">
        <f t="shared" si="20"/>
        <v>0</v>
      </c>
      <c r="N53" s="29">
        <f t="shared" si="20"/>
        <v>0</v>
      </c>
      <c r="O53" s="29">
        <f t="shared" si="20"/>
        <v>0</v>
      </c>
      <c r="P53" s="29">
        <f t="shared" si="20"/>
        <v>0</v>
      </c>
      <c r="Q53" s="30">
        <f t="shared" si="6"/>
        <v>46204</v>
      </c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1" t="str">
        <f t="shared" si="2"/>
        <v>E_B2</v>
      </c>
      <c r="B54" s="11" t="str">
        <f t="shared" ref="B54:B63" si="23">B18</f>
        <v>BURNING TECHNOLOGY a. s.</v>
      </c>
      <c r="C54" s="34" t="s">
        <v>121</v>
      </c>
      <c r="D54" s="26">
        <v>1.0</v>
      </c>
      <c r="E54" s="26">
        <f t="shared" ref="E54:G54" si="21">$D54*IF(F18=0,0,(F18-E18))-E52-E53-E65-E66</f>
        <v>25</v>
      </c>
      <c r="F54" s="26">
        <f t="shared" si="21"/>
        <v>40</v>
      </c>
      <c r="G54" s="26">
        <f t="shared" si="21"/>
        <v>0</v>
      </c>
      <c r="H54" s="26">
        <f>$D54*IF(I18=0,0,(I18-H18))</f>
        <v>0</v>
      </c>
      <c r="I54" s="26">
        <f>$D54*IF(J18=0,0,(J18-I18))-I66</f>
        <v>0</v>
      </c>
      <c r="J54" s="26">
        <f t="shared" ref="J54:P54" si="22">$D54*IF(K18=0,0,(K18-J18))</f>
        <v>240</v>
      </c>
      <c r="K54" s="26">
        <f t="shared" si="22"/>
        <v>0</v>
      </c>
      <c r="L54" s="26">
        <f t="shared" si="22"/>
        <v>0</v>
      </c>
      <c r="M54" s="26">
        <f t="shared" si="22"/>
        <v>0</v>
      </c>
      <c r="N54" s="26">
        <f t="shared" si="22"/>
        <v>0</v>
      </c>
      <c r="O54" s="26">
        <f t="shared" si="22"/>
        <v>0</v>
      </c>
      <c r="P54" s="26">
        <f t="shared" si="22"/>
        <v>0</v>
      </c>
      <c r="Q54" s="32">
        <f t="shared" si="6"/>
        <v>46204</v>
      </c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1" t="str">
        <f t="shared" si="2"/>
        <v>E_C1</v>
      </c>
      <c r="B55" s="11" t="str">
        <f t="shared" si="23"/>
        <v>BURNING TECHNOLOGY a. s.</v>
      </c>
      <c r="C55" s="28"/>
      <c r="D55" s="29">
        <v>1.0</v>
      </c>
      <c r="E55" s="29">
        <f t="shared" ref="E55:P55" si="24">$D55*IF(F19=0,0,(F19-E19))</f>
        <v>20</v>
      </c>
      <c r="F55" s="29">
        <f t="shared" si="24"/>
        <v>10</v>
      </c>
      <c r="G55" s="29">
        <f t="shared" si="24"/>
        <v>10</v>
      </c>
      <c r="H55" s="29">
        <f t="shared" si="24"/>
        <v>5</v>
      </c>
      <c r="I55" s="29">
        <f t="shared" si="24"/>
        <v>5</v>
      </c>
      <c r="J55" s="29">
        <f t="shared" si="24"/>
        <v>10</v>
      </c>
      <c r="K55" s="29">
        <f t="shared" si="24"/>
        <v>0</v>
      </c>
      <c r="L55" s="29">
        <f t="shared" si="24"/>
        <v>0</v>
      </c>
      <c r="M55" s="29">
        <f t="shared" si="24"/>
        <v>0</v>
      </c>
      <c r="N55" s="29">
        <f t="shared" si="24"/>
        <v>0</v>
      </c>
      <c r="O55" s="29">
        <f t="shared" si="24"/>
        <v>0</v>
      </c>
      <c r="P55" s="29">
        <f t="shared" si="24"/>
        <v>0</v>
      </c>
      <c r="Q55" s="30">
        <f t="shared" si="6"/>
        <v>46204</v>
      </c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1" t="str">
        <f t="shared" si="2"/>
        <v>E_C2</v>
      </c>
      <c r="B56" s="11" t="str">
        <f t="shared" si="23"/>
        <v>FSL CZ, s. r. o.</v>
      </c>
      <c r="C56" s="25"/>
      <c r="D56" s="26">
        <v>1.0</v>
      </c>
      <c r="E56" s="26">
        <f t="shared" ref="E56:P56" si="25">$D56*IF(F20=0,0,(F20-E20))</f>
        <v>480</v>
      </c>
      <c r="F56" s="26">
        <f t="shared" si="25"/>
        <v>440</v>
      </c>
      <c r="G56" s="26">
        <f t="shared" si="25"/>
        <v>315</v>
      </c>
      <c r="H56" s="26">
        <f t="shared" si="25"/>
        <v>385</v>
      </c>
      <c r="I56" s="26">
        <f t="shared" si="25"/>
        <v>135</v>
      </c>
      <c r="J56" s="26">
        <f t="shared" si="25"/>
        <v>155</v>
      </c>
      <c r="K56" s="26">
        <f t="shared" si="25"/>
        <v>0</v>
      </c>
      <c r="L56" s="26">
        <f t="shared" si="25"/>
        <v>0</v>
      </c>
      <c r="M56" s="26">
        <f t="shared" si="25"/>
        <v>0</v>
      </c>
      <c r="N56" s="26">
        <f t="shared" si="25"/>
        <v>0</v>
      </c>
      <c r="O56" s="26">
        <f t="shared" si="25"/>
        <v>0</v>
      </c>
      <c r="P56" s="26">
        <f t="shared" si="25"/>
        <v>0</v>
      </c>
      <c r="Q56" s="32">
        <f t="shared" si="6"/>
        <v>46204</v>
      </c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1" t="str">
        <f t="shared" si="2"/>
        <v>E_D1</v>
      </c>
      <c r="B57" s="11" t="str">
        <f t="shared" si="23"/>
        <v>BURNING TECHNOLOGY a. s.</v>
      </c>
      <c r="C57" s="28"/>
      <c r="D57" s="29">
        <v>1.0</v>
      </c>
      <c r="E57" s="29">
        <f t="shared" ref="E57:P57" si="26">$D57*IF(F21=0,0,(F21-E21))</f>
        <v>50</v>
      </c>
      <c r="F57" s="29">
        <f t="shared" si="26"/>
        <v>20</v>
      </c>
      <c r="G57" s="29">
        <f t="shared" si="26"/>
        <v>70</v>
      </c>
      <c r="H57" s="29">
        <f t="shared" si="26"/>
        <v>30</v>
      </c>
      <c r="I57" s="29">
        <f t="shared" si="26"/>
        <v>40</v>
      </c>
      <c r="J57" s="29">
        <f t="shared" si="26"/>
        <v>40</v>
      </c>
      <c r="K57" s="29">
        <f t="shared" si="26"/>
        <v>0</v>
      </c>
      <c r="L57" s="29">
        <f t="shared" si="26"/>
        <v>0</v>
      </c>
      <c r="M57" s="29">
        <f t="shared" si="26"/>
        <v>0</v>
      </c>
      <c r="N57" s="29">
        <f t="shared" si="26"/>
        <v>0</v>
      </c>
      <c r="O57" s="29">
        <f t="shared" si="26"/>
        <v>0</v>
      </c>
      <c r="P57" s="29">
        <f t="shared" si="26"/>
        <v>0</v>
      </c>
      <c r="Q57" s="30">
        <f t="shared" si="6"/>
        <v>46204</v>
      </c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1" t="str">
        <f t="shared" si="2"/>
        <v>E_D2</v>
      </c>
      <c r="B58" s="11" t="str">
        <f t="shared" si="23"/>
        <v>BURNING TECHNOLOGY a. s.</v>
      </c>
      <c r="C58" s="25"/>
      <c r="D58" s="26">
        <v>1.0</v>
      </c>
      <c r="E58" s="26">
        <f t="shared" ref="E58:P58" si="27">$D58*IF(F22=0,0,(F22-E22))</f>
        <v>5</v>
      </c>
      <c r="F58" s="26">
        <f t="shared" si="27"/>
        <v>0</v>
      </c>
      <c r="G58" s="26">
        <f t="shared" si="27"/>
        <v>0</v>
      </c>
      <c r="H58" s="26">
        <f t="shared" si="27"/>
        <v>90</v>
      </c>
      <c r="I58" s="26">
        <f t="shared" si="27"/>
        <v>80</v>
      </c>
      <c r="J58" s="26">
        <f t="shared" si="27"/>
        <v>95</v>
      </c>
      <c r="K58" s="26">
        <f t="shared" si="27"/>
        <v>0</v>
      </c>
      <c r="L58" s="26">
        <f t="shared" si="27"/>
        <v>0</v>
      </c>
      <c r="M58" s="26">
        <f t="shared" si="27"/>
        <v>0</v>
      </c>
      <c r="N58" s="26">
        <f t="shared" si="27"/>
        <v>0</v>
      </c>
      <c r="O58" s="26">
        <f t="shared" si="27"/>
        <v>0</v>
      </c>
      <c r="P58" s="26">
        <f t="shared" si="27"/>
        <v>0</v>
      </c>
      <c r="Q58" s="32">
        <f t="shared" si="6"/>
        <v>46204</v>
      </c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1" t="str">
        <f t="shared" si="2"/>
        <v>E_D3</v>
      </c>
      <c r="B59" s="11" t="str">
        <f t="shared" si="23"/>
        <v>CSE</v>
      </c>
      <c r="C59" s="28"/>
      <c r="D59" s="29">
        <v>1.0</v>
      </c>
      <c r="E59" s="29">
        <f t="shared" ref="E59:P59" si="28">$D59*IF(F23=0,0,(F23-E23))</f>
        <v>0</v>
      </c>
      <c r="F59" s="29">
        <f t="shared" si="28"/>
        <v>0</v>
      </c>
      <c r="G59" s="29">
        <f t="shared" si="28"/>
        <v>0</v>
      </c>
      <c r="H59" s="29">
        <f t="shared" si="28"/>
        <v>0</v>
      </c>
      <c r="I59" s="29">
        <f t="shared" si="28"/>
        <v>0</v>
      </c>
      <c r="J59" s="29">
        <f t="shared" si="28"/>
        <v>0</v>
      </c>
      <c r="K59" s="29">
        <f t="shared" si="28"/>
        <v>0</v>
      </c>
      <c r="L59" s="29">
        <f t="shared" si="28"/>
        <v>0</v>
      </c>
      <c r="M59" s="29">
        <f t="shared" si="28"/>
        <v>0</v>
      </c>
      <c r="N59" s="29">
        <f t="shared" si="28"/>
        <v>0</v>
      </c>
      <c r="O59" s="29">
        <f t="shared" si="28"/>
        <v>0</v>
      </c>
      <c r="P59" s="29">
        <f t="shared" si="28"/>
        <v>0</v>
      </c>
      <c r="Q59" s="30">
        <f t="shared" si="6"/>
        <v>46204</v>
      </c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1" t="str">
        <f t="shared" si="2"/>
        <v>E_CH2</v>
      </c>
      <c r="B60" s="11" t="str">
        <f t="shared" si="23"/>
        <v>BURNING TECHNOLOGY a. s.</v>
      </c>
      <c r="C60" s="25"/>
      <c r="D60" s="26">
        <v>1.0</v>
      </c>
      <c r="E60" s="26">
        <f t="shared" ref="E60:P60" si="29">$D60*IF(F24=0,0,(F24-E24))</f>
        <v>10</v>
      </c>
      <c r="F60" s="26">
        <f t="shared" si="29"/>
        <v>5</v>
      </c>
      <c r="G60" s="26">
        <f t="shared" si="29"/>
        <v>0</v>
      </c>
      <c r="H60" s="26">
        <f t="shared" si="29"/>
        <v>0</v>
      </c>
      <c r="I60" s="26">
        <f t="shared" si="29"/>
        <v>0</v>
      </c>
      <c r="J60" s="26">
        <f t="shared" si="29"/>
        <v>5</v>
      </c>
      <c r="K60" s="26">
        <f t="shared" si="29"/>
        <v>0</v>
      </c>
      <c r="L60" s="26">
        <f t="shared" si="29"/>
        <v>0</v>
      </c>
      <c r="M60" s="26">
        <f t="shared" si="29"/>
        <v>0</v>
      </c>
      <c r="N60" s="26">
        <f t="shared" si="29"/>
        <v>0</v>
      </c>
      <c r="O60" s="26">
        <f t="shared" si="29"/>
        <v>0</v>
      </c>
      <c r="P60" s="26">
        <f t="shared" si="29"/>
        <v>0</v>
      </c>
      <c r="Q60" s="32">
        <f t="shared" si="6"/>
        <v>46204</v>
      </c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1" t="str">
        <f t="shared" si="2"/>
        <v>E_CH1</v>
      </c>
      <c r="B61" s="11" t="str">
        <f t="shared" si="23"/>
        <v>BURNING TECHNOLOGY a. s.</v>
      </c>
      <c r="C61" s="28"/>
      <c r="D61" s="29">
        <v>1.0</v>
      </c>
      <c r="E61" s="29">
        <f t="shared" ref="E61:P61" si="30">$D61*IF(F25=0,0,(F25-E25))</f>
        <v>0</v>
      </c>
      <c r="F61" s="29">
        <f t="shared" si="30"/>
        <v>0</v>
      </c>
      <c r="G61" s="29">
        <f t="shared" si="30"/>
        <v>0</v>
      </c>
      <c r="H61" s="29">
        <f t="shared" si="30"/>
        <v>1</v>
      </c>
      <c r="I61" s="29">
        <f t="shared" si="30"/>
        <v>0</v>
      </c>
      <c r="J61" s="29">
        <f t="shared" si="30"/>
        <v>9</v>
      </c>
      <c r="K61" s="29">
        <f t="shared" si="30"/>
        <v>0</v>
      </c>
      <c r="L61" s="29">
        <f t="shared" si="30"/>
        <v>0</v>
      </c>
      <c r="M61" s="29">
        <f t="shared" si="30"/>
        <v>0</v>
      </c>
      <c r="N61" s="29">
        <f t="shared" si="30"/>
        <v>0</v>
      </c>
      <c r="O61" s="29">
        <f t="shared" si="30"/>
        <v>0</v>
      </c>
      <c r="P61" s="29">
        <f t="shared" si="30"/>
        <v>0</v>
      </c>
      <c r="Q61" s="30">
        <f t="shared" si="6"/>
        <v>46204</v>
      </c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1" t="str">
        <f t="shared" si="2"/>
        <v>E_OSV1</v>
      </c>
      <c r="B62" s="11" t="str">
        <f t="shared" si="23"/>
        <v>výpočet</v>
      </c>
      <c r="C62" s="25"/>
      <c r="D62" s="26">
        <v>1.0</v>
      </c>
      <c r="E62" s="26">
        <f t="shared" ref="E62:P62" si="31">$D62*IF(F26=0,0,(F26-E26))</f>
        <v>290</v>
      </c>
      <c r="F62" s="26">
        <f t="shared" si="31"/>
        <v>300</v>
      </c>
      <c r="G62" s="26">
        <f t="shared" si="31"/>
        <v>250</v>
      </c>
      <c r="H62" s="26">
        <f t="shared" si="31"/>
        <v>210</v>
      </c>
      <c r="I62" s="26">
        <f t="shared" si="31"/>
        <v>190</v>
      </c>
      <c r="J62" s="26">
        <f t="shared" si="31"/>
        <v>140</v>
      </c>
      <c r="K62" s="26">
        <f t="shared" si="31"/>
        <v>0</v>
      </c>
      <c r="L62" s="26">
        <f t="shared" si="31"/>
        <v>0</v>
      </c>
      <c r="M62" s="26">
        <f t="shared" si="31"/>
        <v>0</v>
      </c>
      <c r="N62" s="26">
        <f t="shared" si="31"/>
        <v>0</v>
      </c>
      <c r="O62" s="26">
        <f t="shared" si="31"/>
        <v>0</v>
      </c>
      <c r="P62" s="26">
        <f t="shared" si="31"/>
        <v>0</v>
      </c>
      <c r="Q62" s="32">
        <f t="shared" si="6"/>
        <v>46204</v>
      </c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1" t="str">
        <f t="shared" si="2"/>
        <v>E_OSV2</v>
      </c>
      <c r="B63" s="11" t="str">
        <f t="shared" si="23"/>
        <v>výpočet</v>
      </c>
      <c r="C63" s="28"/>
      <c r="D63" s="29">
        <v>1.0</v>
      </c>
      <c r="E63" s="29">
        <f t="shared" ref="E63:P63" si="32">$D63*IF(F27=0,0,(F27-E27))</f>
        <v>120</v>
      </c>
      <c r="F63" s="29">
        <f t="shared" si="32"/>
        <v>50</v>
      </c>
      <c r="G63" s="29">
        <f t="shared" si="32"/>
        <v>90</v>
      </c>
      <c r="H63" s="29">
        <f t="shared" si="32"/>
        <v>60</v>
      </c>
      <c r="I63" s="29">
        <f t="shared" si="32"/>
        <v>55</v>
      </c>
      <c r="J63" s="29">
        <f t="shared" si="32"/>
        <v>55</v>
      </c>
      <c r="K63" s="29">
        <f t="shared" si="32"/>
        <v>0</v>
      </c>
      <c r="L63" s="29">
        <f t="shared" si="32"/>
        <v>0</v>
      </c>
      <c r="M63" s="29">
        <f t="shared" si="32"/>
        <v>0</v>
      </c>
      <c r="N63" s="29">
        <f t="shared" si="32"/>
        <v>0</v>
      </c>
      <c r="O63" s="29">
        <f t="shared" si="32"/>
        <v>0</v>
      </c>
      <c r="P63" s="29">
        <f t="shared" si="32"/>
        <v>0</v>
      </c>
      <c r="Q63" s="30">
        <f t="shared" si="6"/>
        <v>46204</v>
      </c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1" t="str">
        <f t="shared" si="2"/>
        <v>E_AB1_16</v>
      </c>
      <c r="B64" s="11" t="str">
        <f t="shared" ref="B64:B70" si="34">$B28</f>
        <v>BURNING TECHNOLOGY a. s.</v>
      </c>
      <c r="C64" s="31" t="s">
        <v>122</v>
      </c>
      <c r="D64" s="26">
        <v>1.0</v>
      </c>
      <c r="E64" s="26">
        <f t="shared" ref="E64:P64" si="33">$D64*IF(F28=0,0,(F28-E28))</f>
        <v>10</v>
      </c>
      <c r="F64" s="26">
        <f t="shared" si="33"/>
        <v>30</v>
      </c>
      <c r="G64" s="26">
        <f t="shared" si="33"/>
        <v>20</v>
      </c>
      <c r="H64" s="26">
        <f t="shared" si="33"/>
        <v>10</v>
      </c>
      <c r="I64" s="26">
        <f t="shared" si="33"/>
        <v>25</v>
      </c>
      <c r="J64" s="26">
        <f t="shared" si="33"/>
        <v>35</v>
      </c>
      <c r="K64" s="26">
        <f t="shared" si="33"/>
        <v>0</v>
      </c>
      <c r="L64" s="26">
        <f t="shared" si="33"/>
        <v>0</v>
      </c>
      <c r="M64" s="26">
        <f t="shared" si="33"/>
        <v>0</v>
      </c>
      <c r="N64" s="26">
        <f t="shared" si="33"/>
        <v>0</v>
      </c>
      <c r="O64" s="26">
        <f t="shared" si="33"/>
        <v>0</v>
      </c>
      <c r="P64" s="26">
        <f t="shared" si="33"/>
        <v>0</v>
      </c>
      <c r="Q64" s="32">
        <f t="shared" si="6"/>
        <v>46204</v>
      </c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1" t="str">
        <f t="shared" si="2"/>
        <v>E_B1Z</v>
      </c>
      <c r="B65" s="11" t="str">
        <f t="shared" si="34"/>
        <v>VINTECO s. r. o.</v>
      </c>
      <c r="C65" s="33" t="s">
        <v>123</v>
      </c>
      <c r="D65" s="29">
        <v>1.0</v>
      </c>
      <c r="E65" s="29">
        <f t="shared" ref="E65:P65" si="35">$D65*IF(F29=0,0,(F29-E29))</f>
        <v>0</v>
      </c>
      <c r="F65" s="29">
        <f t="shared" si="35"/>
        <v>0</v>
      </c>
      <c r="G65" s="29">
        <f t="shared" si="35"/>
        <v>0</v>
      </c>
      <c r="H65" s="29">
        <f t="shared" si="35"/>
        <v>0</v>
      </c>
      <c r="I65" s="29">
        <f t="shared" si="35"/>
        <v>0</v>
      </c>
      <c r="J65" s="29">
        <f t="shared" si="35"/>
        <v>0</v>
      </c>
      <c r="K65" s="29">
        <f t="shared" si="35"/>
        <v>0</v>
      </c>
      <c r="L65" s="29">
        <f t="shared" si="35"/>
        <v>0</v>
      </c>
      <c r="M65" s="29">
        <f t="shared" si="35"/>
        <v>0</v>
      </c>
      <c r="N65" s="29">
        <f t="shared" si="35"/>
        <v>0</v>
      </c>
      <c r="O65" s="29">
        <f t="shared" si="35"/>
        <v>0</v>
      </c>
      <c r="P65" s="29">
        <f t="shared" si="35"/>
        <v>0</v>
      </c>
      <c r="Q65" s="30">
        <f t="shared" si="6"/>
        <v>46204</v>
      </c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1" t="str">
        <f t="shared" si="2"/>
        <v>E_B2Z</v>
      </c>
      <c r="B66" s="11" t="str">
        <f t="shared" si="34"/>
        <v>BURNING TECHNOLOGY a. s.</v>
      </c>
      <c r="C66" s="33" t="s">
        <v>123</v>
      </c>
      <c r="D66" s="26">
        <v>1.0</v>
      </c>
      <c r="E66" s="26">
        <f t="shared" ref="E66:P66" si="36">$D66*IF(F30=0,0,(F30-E30))</f>
        <v>0</v>
      </c>
      <c r="F66" s="26">
        <f t="shared" si="36"/>
        <v>0</v>
      </c>
      <c r="G66" s="26">
        <f t="shared" si="36"/>
        <v>0</v>
      </c>
      <c r="H66" s="26">
        <f t="shared" si="36"/>
        <v>0</v>
      </c>
      <c r="I66" s="26">
        <f t="shared" si="36"/>
        <v>0</v>
      </c>
      <c r="J66" s="26">
        <f t="shared" si="36"/>
        <v>0</v>
      </c>
      <c r="K66" s="26">
        <f t="shared" si="36"/>
        <v>0</v>
      </c>
      <c r="L66" s="26">
        <f t="shared" si="36"/>
        <v>0</v>
      </c>
      <c r="M66" s="26">
        <f t="shared" si="36"/>
        <v>0</v>
      </c>
      <c r="N66" s="26">
        <f t="shared" si="36"/>
        <v>0</v>
      </c>
      <c r="O66" s="26">
        <f t="shared" si="36"/>
        <v>0</v>
      </c>
      <c r="P66" s="26">
        <f t="shared" si="36"/>
        <v>0</v>
      </c>
      <c r="Q66" s="32">
        <f t="shared" si="6"/>
        <v>46204</v>
      </c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1" t="str">
        <f t="shared" si="2"/>
        <v>E_C1Z</v>
      </c>
      <c r="B67" s="11" t="str">
        <f t="shared" si="34"/>
        <v>BURNING TECHNOLOGY a. s.</v>
      </c>
      <c r="C67" s="28"/>
      <c r="D67" s="29">
        <v>1.0</v>
      </c>
      <c r="E67" s="29">
        <f t="shared" ref="E67:P67" si="37">$D67*IF(F31=0,0,(F31-E31))</f>
        <v>0</v>
      </c>
      <c r="F67" s="29">
        <f t="shared" si="37"/>
        <v>0</v>
      </c>
      <c r="G67" s="29">
        <f t="shared" si="37"/>
        <v>0</v>
      </c>
      <c r="H67" s="29">
        <f t="shared" si="37"/>
        <v>0</v>
      </c>
      <c r="I67" s="29">
        <f t="shared" si="37"/>
        <v>0</v>
      </c>
      <c r="J67" s="29">
        <f t="shared" si="37"/>
        <v>0</v>
      </c>
      <c r="K67" s="29">
        <f t="shared" si="37"/>
        <v>0</v>
      </c>
      <c r="L67" s="29">
        <f t="shared" si="37"/>
        <v>0</v>
      </c>
      <c r="M67" s="29">
        <f t="shared" si="37"/>
        <v>0</v>
      </c>
      <c r="N67" s="29">
        <f t="shared" si="37"/>
        <v>0</v>
      </c>
      <c r="O67" s="29">
        <f t="shared" si="37"/>
        <v>0</v>
      </c>
      <c r="P67" s="29">
        <f t="shared" si="37"/>
        <v>0</v>
      </c>
      <c r="Q67" s="30">
        <f t="shared" si="6"/>
        <v>46204</v>
      </c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1" t="str">
        <f t="shared" si="2"/>
        <v>E_D1Z</v>
      </c>
      <c r="B68" s="11" t="str">
        <f t="shared" si="34"/>
        <v>BURNING TECHNOLOGY a. s.</v>
      </c>
      <c r="C68" s="25"/>
      <c r="D68" s="26">
        <v>1.0</v>
      </c>
      <c r="E68" s="26">
        <f t="shared" ref="E68:P68" si="38">$D68*IF(F32=0,0,(F32-E32))</f>
        <v>0</v>
      </c>
      <c r="F68" s="26">
        <f t="shared" si="38"/>
        <v>0</v>
      </c>
      <c r="G68" s="26">
        <f t="shared" si="38"/>
        <v>0</v>
      </c>
      <c r="H68" s="26">
        <f t="shared" si="38"/>
        <v>0</v>
      </c>
      <c r="I68" s="26">
        <f t="shared" si="38"/>
        <v>0</v>
      </c>
      <c r="J68" s="26">
        <f t="shared" si="38"/>
        <v>0</v>
      </c>
      <c r="K68" s="26">
        <f t="shared" si="38"/>
        <v>0</v>
      </c>
      <c r="L68" s="26">
        <f t="shared" si="38"/>
        <v>0</v>
      </c>
      <c r="M68" s="26">
        <f t="shared" si="38"/>
        <v>0</v>
      </c>
      <c r="N68" s="26">
        <f t="shared" si="38"/>
        <v>0</v>
      </c>
      <c r="O68" s="26">
        <f t="shared" si="38"/>
        <v>0</v>
      </c>
      <c r="P68" s="26">
        <f t="shared" si="38"/>
        <v>0</v>
      </c>
      <c r="Q68" s="30">
        <f t="shared" si="6"/>
        <v>46204</v>
      </c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1" t="str">
        <f t="shared" si="2"/>
        <v>E_C6</v>
      </c>
      <c r="B69" s="11" t="str">
        <f t="shared" si="34"/>
        <v>BURNING TECHNOLOGY a. s.</v>
      </c>
      <c r="C69" s="28"/>
      <c r="D69" s="29">
        <v>1.0</v>
      </c>
      <c r="E69" s="29">
        <f t="shared" ref="E69:P69" si="39">$D69*IF(F33=0,0,(F33-E33))</f>
        <v>10</v>
      </c>
      <c r="F69" s="29">
        <f t="shared" si="39"/>
        <v>0</v>
      </c>
      <c r="G69" s="29">
        <f t="shared" si="39"/>
        <v>0</v>
      </c>
      <c r="H69" s="29">
        <f t="shared" si="39"/>
        <v>0</v>
      </c>
      <c r="I69" s="29">
        <f t="shared" si="39"/>
        <v>10</v>
      </c>
      <c r="J69" s="29">
        <f t="shared" si="39"/>
        <v>0</v>
      </c>
      <c r="K69" s="29">
        <f t="shared" si="39"/>
        <v>0</v>
      </c>
      <c r="L69" s="29">
        <f t="shared" si="39"/>
        <v>0</v>
      </c>
      <c r="M69" s="29">
        <f t="shared" si="39"/>
        <v>0</v>
      </c>
      <c r="N69" s="29">
        <f t="shared" si="39"/>
        <v>0</v>
      </c>
      <c r="O69" s="29">
        <f t="shared" si="39"/>
        <v>0</v>
      </c>
      <c r="P69" s="29">
        <f t="shared" si="39"/>
        <v>0</v>
      </c>
      <c r="Q69" s="30">
        <f t="shared" si="6"/>
        <v>46204</v>
      </c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1" t="str">
        <f t="shared" si="2"/>
        <v>E_SPOL</v>
      </c>
      <c r="B70" s="11" t="str">
        <f t="shared" si="34"/>
        <v>výpočet</v>
      </c>
      <c r="C70" s="25"/>
      <c r="D70" s="26">
        <v>1.0</v>
      </c>
      <c r="E70" s="26">
        <f t="shared" ref="E70:F70" si="40">E62+E63+E39+E51</f>
        <v>630</v>
      </c>
      <c r="F70" s="26">
        <f t="shared" si="40"/>
        <v>550</v>
      </c>
      <c r="G70" s="26">
        <f t="shared" ref="G70:P70" si="41">G62+G63+G39+G51+G47</f>
        <v>710</v>
      </c>
      <c r="H70" s="26">
        <f t="shared" si="41"/>
        <v>570</v>
      </c>
      <c r="I70" s="26">
        <f t="shared" si="41"/>
        <v>485</v>
      </c>
      <c r="J70" s="26">
        <f t="shared" si="41"/>
        <v>425</v>
      </c>
      <c r="K70" s="26">
        <f t="shared" si="41"/>
        <v>0</v>
      </c>
      <c r="L70" s="26">
        <f t="shared" si="41"/>
        <v>0</v>
      </c>
      <c r="M70" s="26">
        <f t="shared" si="41"/>
        <v>0</v>
      </c>
      <c r="N70" s="26">
        <f t="shared" si="41"/>
        <v>0</v>
      </c>
      <c r="O70" s="26">
        <f t="shared" si="41"/>
        <v>0</v>
      </c>
      <c r="P70" s="26">
        <f t="shared" si="41"/>
        <v>0</v>
      </c>
      <c r="Q70" s="32">
        <f t="shared" si="6"/>
        <v>46204</v>
      </c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35"/>
      <c r="B71" s="36"/>
      <c r="C71" s="37"/>
      <c r="D71" s="37"/>
      <c r="E71" s="38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40" t="s">
        <v>124</v>
      </c>
      <c r="B72" s="41"/>
      <c r="C72" s="42"/>
      <c r="D72" s="42"/>
      <c r="E72" s="43">
        <f t="shared" ref="E72:P72" si="42">SUM(E38:E69)</f>
        <v>2190</v>
      </c>
      <c r="F72" s="43">
        <f t="shared" si="42"/>
        <v>2045</v>
      </c>
      <c r="G72" s="43">
        <f t="shared" si="42"/>
        <v>1860</v>
      </c>
      <c r="H72" s="43">
        <f t="shared" si="42"/>
        <v>1751</v>
      </c>
      <c r="I72" s="43">
        <f t="shared" si="42"/>
        <v>1375</v>
      </c>
      <c r="J72" s="43">
        <f t="shared" si="42"/>
        <v>1659</v>
      </c>
      <c r="K72" s="43">
        <f t="shared" si="42"/>
        <v>0</v>
      </c>
      <c r="L72" s="43">
        <f t="shared" si="42"/>
        <v>0</v>
      </c>
      <c r="M72" s="43">
        <f t="shared" si="42"/>
        <v>0</v>
      </c>
      <c r="N72" s="43">
        <f t="shared" si="42"/>
        <v>0</v>
      </c>
      <c r="O72" s="43">
        <f t="shared" si="42"/>
        <v>0</v>
      </c>
      <c r="P72" s="43">
        <f t="shared" si="42"/>
        <v>0</v>
      </c>
      <c r="Q72" s="43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44"/>
      <c r="B73" s="41"/>
      <c r="C73" s="45"/>
      <c r="D73" s="45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40" t="s">
        <v>125</v>
      </c>
      <c r="B74" s="41"/>
      <c r="C74" s="42"/>
      <c r="D74" s="42"/>
      <c r="E74" s="43">
        <f t="shared" ref="E74:P74" si="43">E72</f>
        <v>2190</v>
      </c>
      <c r="F74" s="43">
        <f t="shared" si="43"/>
        <v>2045</v>
      </c>
      <c r="G74" s="43">
        <f t="shared" si="43"/>
        <v>1860</v>
      </c>
      <c r="H74" s="43">
        <f t="shared" si="43"/>
        <v>1751</v>
      </c>
      <c r="I74" s="43">
        <f t="shared" si="43"/>
        <v>1375</v>
      </c>
      <c r="J74" s="43">
        <f t="shared" si="43"/>
        <v>1659</v>
      </c>
      <c r="K74" s="43">
        <f t="shared" si="43"/>
        <v>0</v>
      </c>
      <c r="L74" s="43">
        <f t="shared" si="43"/>
        <v>0</v>
      </c>
      <c r="M74" s="43">
        <f t="shared" si="43"/>
        <v>0</v>
      </c>
      <c r="N74" s="43">
        <f t="shared" si="43"/>
        <v>0</v>
      </c>
      <c r="O74" s="43">
        <f t="shared" si="43"/>
        <v>0</v>
      </c>
      <c r="P74" s="43">
        <f t="shared" si="43"/>
        <v>0</v>
      </c>
      <c r="Q74" s="43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40" t="s">
        <v>126</v>
      </c>
      <c r="B75" s="41"/>
      <c r="C75" s="45"/>
      <c r="D75" s="45"/>
      <c r="E75" s="47">
        <v>2505.0</v>
      </c>
      <c r="F75" s="47">
        <v>2118.0</v>
      </c>
      <c r="G75" s="48">
        <v>1958.0</v>
      </c>
      <c r="H75" s="48">
        <v>1806.0</v>
      </c>
      <c r="I75" s="48">
        <v>1450.0</v>
      </c>
      <c r="J75" s="48">
        <v>1717.0</v>
      </c>
      <c r="K75" s="47">
        <v>0.0</v>
      </c>
      <c r="L75" s="47">
        <v>0.0</v>
      </c>
      <c r="M75" s="47">
        <v>0.0</v>
      </c>
      <c r="N75" s="47">
        <v>0.0</v>
      </c>
      <c r="O75" s="47">
        <v>0.0</v>
      </c>
      <c r="P75" s="47">
        <v>0.0</v>
      </c>
      <c r="Q75" s="49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40" t="s">
        <v>127</v>
      </c>
      <c r="B76" s="41"/>
      <c r="C76" s="42"/>
      <c r="D76" s="42"/>
      <c r="E76" s="43">
        <f t="shared" ref="E76:P76" si="44">E75/1.04</f>
        <v>2408.653846</v>
      </c>
      <c r="F76" s="43">
        <f t="shared" si="44"/>
        <v>2036.538462</v>
      </c>
      <c r="G76" s="43">
        <f t="shared" si="44"/>
        <v>1882.692308</v>
      </c>
      <c r="H76" s="43">
        <f t="shared" si="44"/>
        <v>1736.538462</v>
      </c>
      <c r="I76" s="43">
        <f t="shared" si="44"/>
        <v>1394.230769</v>
      </c>
      <c r="J76" s="43">
        <f t="shared" si="44"/>
        <v>1650.961538</v>
      </c>
      <c r="K76" s="43">
        <f t="shared" si="44"/>
        <v>0</v>
      </c>
      <c r="L76" s="43">
        <f t="shared" si="44"/>
        <v>0</v>
      </c>
      <c r="M76" s="43">
        <f t="shared" si="44"/>
        <v>0</v>
      </c>
      <c r="N76" s="43">
        <f t="shared" si="44"/>
        <v>0</v>
      </c>
      <c r="O76" s="43">
        <f t="shared" si="44"/>
        <v>0</v>
      </c>
      <c r="P76" s="43">
        <f t="shared" si="44"/>
        <v>0</v>
      </c>
      <c r="Q76" s="43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40" t="s">
        <v>128</v>
      </c>
      <c r="B77" s="41"/>
      <c r="C77" s="45"/>
      <c r="D77" s="45"/>
      <c r="E77" s="46">
        <f t="shared" ref="E77:P77" si="45">E74-E76</f>
        <v>-218.6538462</v>
      </c>
      <c r="F77" s="46">
        <f t="shared" si="45"/>
        <v>8.461538462</v>
      </c>
      <c r="G77" s="46">
        <f t="shared" si="45"/>
        <v>-22.69230769</v>
      </c>
      <c r="H77" s="46">
        <f t="shared" si="45"/>
        <v>14.46153846</v>
      </c>
      <c r="I77" s="46">
        <f t="shared" si="45"/>
        <v>-19.23076923</v>
      </c>
      <c r="J77" s="46">
        <f t="shared" si="45"/>
        <v>8.038461538</v>
      </c>
      <c r="K77" s="46">
        <f t="shared" si="45"/>
        <v>0</v>
      </c>
      <c r="L77" s="46">
        <f t="shared" si="45"/>
        <v>0</v>
      </c>
      <c r="M77" s="46">
        <f t="shared" si="45"/>
        <v>0</v>
      </c>
      <c r="N77" s="46">
        <f t="shared" si="45"/>
        <v>0</v>
      </c>
      <c r="O77" s="46">
        <f t="shared" si="45"/>
        <v>0</v>
      </c>
      <c r="P77" s="46">
        <f t="shared" si="45"/>
        <v>0</v>
      </c>
      <c r="Q77" s="46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40" t="s">
        <v>129</v>
      </c>
      <c r="B78" s="41"/>
      <c r="C78" s="42"/>
      <c r="D78" s="42"/>
      <c r="E78" s="50">
        <f t="shared" ref="E78:H78" si="46">IF(E74&gt;0,E77/E74,0)</f>
        <v>-0.09984193888</v>
      </c>
      <c r="F78" s="50">
        <f t="shared" si="46"/>
        <v>0.004137671619</v>
      </c>
      <c r="G78" s="50">
        <f t="shared" si="46"/>
        <v>-0.01220016543</v>
      </c>
      <c r="H78" s="50">
        <f t="shared" si="46"/>
        <v>0.008259016826</v>
      </c>
      <c r="I78" s="50">
        <f t="shared" ref="I78:P78" si="47">IF(I74&gt;0,(I76/I74)-1+4%,0)</f>
        <v>0.05398601399</v>
      </c>
      <c r="J78" s="50">
        <f t="shared" si="47"/>
        <v>0.0351546344</v>
      </c>
      <c r="K78" s="50">
        <f t="shared" si="47"/>
        <v>0</v>
      </c>
      <c r="L78" s="50">
        <f t="shared" si="47"/>
        <v>0</v>
      </c>
      <c r="M78" s="50">
        <f t="shared" si="47"/>
        <v>0</v>
      </c>
      <c r="N78" s="50">
        <f t="shared" si="47"/>
        <v>0</v>
      </c>
      <c r="O78" s="50">
        <f t="shared" si="47"/>
        <v>0</v>
      </c>
      <c r="P78" s="50">
        <f t="shared" si="47"/>
        <v>0</v>
      </c>
      <c r="Q78" s="43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40" t="s">
        <v>130</v>
      </c>
      <c r="B79" s="41"/>
      <c r="C79" s="45"/>
      <c r="D79" s="45"/>
      <c r="E79" s="51">
        <v>17882.0</v>
      </c>
      <c r="F79" s="51">
        <v>14400.0</v>
      </c>
      <c r="G79" s="52">
        <v>14009.0</v>
      </c>
      <c r="H79" s="52">
        <v>10732.35</v>
      </c>
      <c r="I79" s="52">
        <v>8948.01</v>
      </c>
      <c r="J79" s="52">
        <v>10696.9</v>
      </c>
      <c r="K79" s="51">
        <v>0.0</v>
      </c>
      <c r="L79" s="51">
        <v>0.0</v>
      </c>
      <c r="M79" s="51">
        <v>0.0</v>
      </c>
      <c r="N79" s="51">
        <v>0.0</v>
      </c>
      <c r="O79" s="51">
        <v>0.0</v>
      </c>
      <c r="P79" s="51">
        <v>0.0</v>
      </c>
      <c r="Q79" s="46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40" t="s">
        <v>131</v>
      </c>
      <c r="B80" s="41"/>
      <c r="C80" s="42"/>
      <c r="D80" s="42"/>
      <c r="E80" s="53">
        <f t="shared" ref="E80:O80" si="48">IF(E75&gt;0,E79/E75,0)</f>
        <v>7.138522954</v>
      </c>
      <c r="F80" s="53">
        <f t="shared" si="48"/>
        <v>6.798866856</v>
      </c>
      <c r="G80" s="53">
        <f t="shared" si="48"/>
        <v>7.154749745</v>
      </c>
      <c r="H80" s="53">
        <f t="shared" si="48"/>
        <v>5.942607973</v>
      </c>
      <c r="I80" s="53">
        <f t="shared" si="48"/>
        <v>6.171041379</v>
      </c>
      <c r="J80" s="53">
        <f t="shared" si="48"/>
        <v>6.229994176</v>
      </c>
      <c r="K80" s="53">
        <f t="shared" si="48"/>
        <v>0</v>
      </c>
      <c r="L80" s="53">
        <f t="shared" si="48"/>
        <v>0</v>
      </c>
      <c r="M80" s="53">
        <f t="shared" si="48"/>
        <v>0</v>
      </c>
      <c r="N80" s="53">
        <f t="shared" si="48"/>
        <v>0</v>
      </c>
      <c r="O80" s="53">
        <f t="shared" si="48"/>
        <v>0</v>
      </c>
      <c r="P80" s="53">
        <f>IF(P75&gt;0,P79/P75,0)+Q80</f>
        <v>0</v>
      </c>
      <c r="Q80" s="43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54">
        <f>E79+VODA!E14+TEPLO!E16</f>
        <v>54293.6115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3.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10">
    <mergeCell ref="A78:B78"/>
    <mergeCell ref="A79:B79"/>
    <mergeCell ref="A80:B80"/>
    <mergeCell ref="A71:B71"/>
    <mergeCell ref="A72:B72"/>
    <mergeCell ref="A73:B73"/>
    <mergeCell ref="A74:B74"/>
    <mergeCell ref="A75:B75"/>
    <mergeCell ref="A76:B76"/>
    <mergeCell ref="A77:B77"/>
  </mergeCells>
  <conditionalFormatting sqref="E77:P77">
    <cfRule type="cellIs" dxfId="5" priority="1" operator="lessThan">
      <formula>0</formula>
    </cfRule>
  </conditionalFormatting>
  <dataValidations>
    <dataValidation type="custom" allowBlank="1" showDropDown="1" sqref="Q38:Q70">
      <formula1>OR(NOT(ISERROR(DATEVALUE(Q38))), AND(ISNUMBER(Q38), LEFT(CELL("format", Q38))="D"))</formula1>
    </dataValidation>
    <dataValidation type="custom" allowBlank="1" showDropDown="1" sqref="E2:Q34 D38:P70">
      <formula1>AND(ISNUMBER(D2),(NOT(OR(NOT(ISERROR(DATEVALUE(D2))), AND(ISNUMBER(D2), LEFT(CELL("format", D2))="D")))))</formula1>
    </dataValidation>
    <dataValidation allowBlank="1" showDropDown="1" sqref="A2:D34 A38:B70"/>
    <dataValidation type="decimal" operator="lessThan" allowBlank="1" showDropDown="1" sqref="E77">
      <formula1>0.0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29"/>
    <col customWidth="1" min="2" max="2" width="29.0"/>
    <col customWidth="1" min="3" max="3" width="35.14"/>
    <col customWidth="1" min="4" max="4" width="10.0"/>
    <col customWidth="1" min="5" max="17" width="13.29"/>
    <col customWidth="1" min="18" max="26" width="16.29"/>
  </cols>
  <sheetData>
    <row r="1" ht="13.5" customHeight="1">
      <c r="A1" s="55" t="s">
        <v>24</v>
      </c>
      <c r="B1" s="55" t="s">
        <v>25</v>
      </c>
      <c r="C1" s="55" t="s">
        <v>26</v>
      </c>
      <c r="D1" s="55" t="s">
        <v>27</v>
      </c>
      <c r="E1" s="56" t="str">
        <f>ELEKTRO!E1</f>
        <v>1. 1. 2026</v>
      </c>
      <c r="F1" s="56" t="str">
        <f>ELEKTRO!F1</f>
        <v>1. 2. 2026</v>
      </c>
      <c r="G1" s="56" t="str">
        <f>ELEKTRO!G1</f>
        <v>1. 3. 2026</v>
      </c>
      <c r="H1" s="56" t="str">
        <f>ELEKTRO!H1</f>
        <v>1. 4. 2026</v>
      </c>
      <c r="I1" s="56" t="str">
        <f>ELEKTRO!I1</f>
        <v>1. 5. 2026</v>
      </c>
      <c r="J1" s="56" t="str">
        <f>ELEKTRO!J1</f>
        <v>1. 6. 2026</v>
      </c>
      <c r="K1" s="56" t="str">
        <f>ELEKTRO!K1</f>
        <v>1. 7. 2026</v>
      </c>
      <c r="L1" s="56" t="str">
        <f>ELEKTRO!L1</f>
        <v>1. 8. 2026</v>
      </c>
      <c r="M1" s="56" t="str">
        <f>ELEKTRO!M1</f>
        <v>1. 9. 2026</v>
      </c>
      <c r="N1" s="56" t="str">
        <f>ELEKTRO!N1</f>
        <v>1. 10. 2026</v>
      </c>
      <c r="O1" s="56" t="str">
        <f>ELEKTRO!O1</f>
        <v>1. 11. 2026</v>
      </c>
      <c r="P1" s="56" t="str">
        <f>ELEKTRO!P1</f>
        <v>1. 12. 2026</v>
      </c>
      <c r="Q1" s="56" t="str">
        <f>ELEKTRO!Q1</f>
        <v>1. 1. 2027</v>
      </c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57" t="s">
        <v>132</v>
      </c>
      <c r="B2" s="57" t="s">
        <v>15</v>
      </c>
      <c r="C2" s="58"/>
      <c r="D2" s="58" t="s">
        <v>133</v>
      </c>
      <c r="E2" s="59">
        <v>524.0</v>
      </c>
      <c r="F2" s="59">
        <v>530.0</v>
      </c>
      <c r="G2" s="59">
        <v>535.0</v>
      </c>
      <c r="H2" s="60">
        <v>541.0</v>
      </c>
      <c r="I2" s="60">
        <v>547.0</v>
      </c>
      <c r="J2" s="60">
        <v>553.0</v>
      </c>
      <c r="K2" s="60">
        <v>561.0</v>
      </c>
      <c r="L2" s="59">
        <v>0.0</v>
      </c>
      <c r="M2" s="59">
        <v>0.0</v>
      </c>
      <c r="N2" s="59">
        <v>0.0</v>
      </c>
      <c r="O2" s="59">
        <v>0.0</v>
      </c>
      <c r="P2" s="59">
        <v>0.0</v>
      </c>
      <c r="Q2" s="59">
        <v>0.0</v>
      </c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61"/>
      <c r="B3" s="57"/>
      <c r="C3" s="58"/>
      <c r="D3" s="58"/>
      <c r="E3" s="62"/>
      <c r="F3" s="59"/>
      <c r="G3" s="59"/>
      <c r="H3" s="60"/>
      <c r="I3" s="59"/>
      <c r="J3" s="59"/>
      <c r="K3" s="59"/>
      <c r="L3" s="59"/>
      <c r="M3" s="59"/>
      <c r="N3" s="59"/>
      <c r="O3" s="59"/>
      <c r="P3" s="59"/>
      <c r="Q3" s="59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20"/>
      <c r="B4" s="20"/>
      <c r="C4" s="20"/>
      <c r="D4" s="2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A5" s="55" t="s">
        <v>105</v>
      </c>
      <c r="B5" s="55" t="s">
        <v>25</v>
      </c>
      <c r="C5" s="55" t="s">
        <v>26</v>
      </c>
      <c r="D5" s="55" t="s">
        <v>106</v>
      </c>
      <c r="E5" s="63">
        <v>44562.0</v>
      </c>
      <c r="F5" s="63">
        <v>44593.0</v>
      </c>
      <c r="G5" s="63">
        <v>44621.0</v>
      </c>
      <c r="H5" s="63">
        <v>44652.0</v>
      </c>
      <c r="I5" s="63">
        <v>44682.0</v>
      </c>
      <c r="J5" s="63">
        <v>44713.0</v>
      </c>
      <c r="K5" s="63">
        <v>44743.0</v>
      </c>
      <c r="L5" s="63">
        <v>44774.0</v>
      </c>
      <c r="M5" s="63">
        <v>44805.0</v>
      </c>
      <c r="N5" s="63">
        <v>44835.0</v>
      </c>
      <c r="O5" s="63">
        <v>44866.0</v>
      </c>
      <c r="P5" s="63">
        <v>44896.0</v>
      </c>
      <c r="Q5" s="64"/>
      <c r="R5" s="10"/>
      <c r="S5" s="10"/>
      <c r="T5" s="10"/>
      <c r="U5" s="10"/>
      <c r="V5" s="10"/>
      <c r="W5" s="10"/>
      <c r="X5" s="10"/>
      <c r="Y5" s="10"/>
      <c r="Z5" s="10"/>
    </row>
    <row r="6" ht="13.5" customHeight="1">
      <c r="A6" s="57" t="str">
        <f>$A2</f>
        <v>W_CELKEM</v>
      </c>
      <c r="B6" s="57" t="str">
        <f>B2</f>
        <v>výpočet</v>
      </c>
      <c r="C6" s="42"/>
      <c r="D6" s="42">
        <v>1.0</v>
      </c>
      <c r="E6" s="59">
        <f t="shared" ref="E6:P6" si="1">$D6*IF(F2=0,0,(F2-E2))</f>
        <v>6</v>
      </c>
      <c r="F6" s="59">
        <f t="shared" si="1"/>
        <v>5</v>
      </c>
      <c r="G6" s="59">
        <f t="shared" si="1"/>
        <v>6</v>
      </c>
      <c r="H6" s="59">
        <f t="shared" si="1"/>
        <v>6</v>
      </c>
      <c r="I6" s="59">
        <f t="shared" si="1"/>
        <v>6</v>
      </c>
      <c r="J6" s="59">
        <f t="shared" si="1"/>
        <v>8</v>
      </c>
      <c r="K6" s="59">
        <f t="shared" si="1"/>
        <v>0</v>
      </c>
      <c r="L6" s="59">
        <f t="shared" si="1"/>
        <v>0</v>
      </c>
      <c r="M6" s="59">
        <f t="shared" si="1"/>
        <v>0</v>
      </c>
      <c r="N6" s="59">
        <f t="shared" si="1"/>
        <v>0</v>
      </c>
      <c r="O6" s="59">
        <f t="shared" si="1"/>
        <v>0</v>
      </c>
      <c r="P6" s="59">
        <f t="shared" si="1"/>
        <v>0</v>
      </c>
      <c r="Q6" s="59"/>
      <c r="R6" s="10"/>
      <c r="S6" s="10"/>
      <c r="T6" s="10"/>
      <c r="U6" s="10"/>
      <c r="V6" s="10"/>
      <c r="W6" s="10"/>
      <c r="X6" s="10"/>
      <c r="Y6" s="10"/>
      <c r="Z6" s="10"/>
    </row>
    <row r="7" ht="13.5" customHeight="1">
      <c r="A7" s="61"/>
      <c r="B7" s="57"/>
      <c r="C7" s="42"/>
      <c r="D7" s="4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59"/>
      <c r="R7" s="10"/>
      <c r="S7" s="10"/>
      <c r="T7" s="10"/>
      <c r="U7" s="10"/>
      <c r="V7" s="10"/>
      <c r="W7" s="10"/>
      <c r="X7" s="10"/>
      <c r="Y7" s="10"/>
      <c r="Z7" s="10"/>
    </row>
    <row r="8" ht="13.5" customHeight="1">
      <c r="A8" s="40" t="s">
        <v>124</v>
      </c>
      <c r="B8" s="41"/>
      <c r="C8" s="42"/>
      <c r="D8" s="42"/>
      <c r="E8" s="59">
        <f t="shared" ref="E8:H8" si="2">SUM(E6)</f>
        <v>6</v>
      </c>
      <c r="F8" s="59">
        <f t="shared" si="2"/>
        <v>5</v>
      </c>
      <c r="G8" s="59">
        <f t="shared" si="2"/>
        <v>6</v>
      </c>
      <c r="H8" s="59">
        <f t="shared" si="2"/>
        <v>6</v>
      </c>
      <c r="I8" s="62">
        <v>6.0</v>
      </c>
      <c r="J8" s="59">
        <f t="shared" ref="J8:P8" si="3">SUM(J6)</f>
        <v>8</v>
      </c>
      <c r="K8" s="59">
        <f t="shared" si="3"/>
        <v>0</v>
      </c>
      <c r="L8" s="59">
        <f t="shared" si="3"/>
        <v>0</v>
      </c>
      <c r="M8" s="59">
        <f t="shared" si="3"/>
        <v>0</v>
      </c>
      <c r="N8" s="59">
        <f t="shared" si="3"/>
        <v>0</v>
      </c>
      <c r="O8" s="59">
        <f t="shared" si="3"/>
        <v>0</v>
      </c>
      <c r="P8" s="59">
        <f t="shared" si="3"/>
        <v>0</v>
      </c>
      <c r="Q8" s="43"/>
      <c r="R8" s="10"/>
      <c r="S8" s="10"/>
      <c r="T8" s="10"/>
      <c r="U8" s="10"/>
      <c r="V8" s="10"/>
      <c r="W8" s="10"/>
      <c r="X8" s="10"/>
      <c r="Y8" s="10"/>
      <c r="Z8" s="10"/>
    </row>
    <row r="9" ht="13.5" customHeight="1">
      <c r="A9" s="44"/>
      <c r="B9" s="41"/>
      <c r="C9" s="42"/>
      <c r="D9" s="42"/>
      <c r="E9" s="6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40" t="s">
        <v>134</v>
      </c>
      <c r="B10" s="41"/>
      <c r="C10" s="42"/>
      <c r="D10" s="42"/>
      <c r="E10" s="43">
        <f t="shared" ref="E10:J10" si="4">E8</f>
        <v>6</v>
      </c>
      <c r="F10" s="43">
        <f t="shared" si="4"/>
        <v>5</v>
      </c>
      <c r="G10" s="43">
        <f t="shared" si="4"/>
        <v>6</v>
      </c>
      <c r="H10" s="43">
        <f t="shared" si="4"/>
        <v>6</v>
      </c>
      <c r="I10" s="43">
        <f t="shared" si="4"/>
        <v>6</v>
      </c>
      <c r="J10" s="43">
        <f t="shared" si="4"/>
        <v>8</v>
      </c>
      <c r="K10" s="43">
        <v>0.0</v>
      </c>
      <c r="L10" s="43">
        <f t="shared" ref="L10:P10" si="5">L8</f>
        <v>0</v>
      </c>
      <c r="M10" s="43">
        <f t="shared" si="5"/>
        <v>0</v>
      </c>
      <c r="N10" s="43">
        <f t="shared" si="5"/>
        <v>0</v>
      </c>
      <c r="O10" s="43">
        <f t="shared" si="5"/>
        <v>0</v>
      </c>
      <c r="P10" s="43">
        <f t="shared" si="5"/>
        <v>0</v>
      </c>
      <c r="Q10" s="43"/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>
      <c r="A11" s="40" t="s">
        <v>135</v>
      </c>
      <c r="B11" s="41"/>
      <c r="C11" s="42"/>
      <c r="D11" s="42"/>
      <c r="E11" s="43">
        <v>6.0</v>
      </c>
      <c r="F11" s="43">
        <v>0.0</v>
      </c>
      <c r="G11" s="43">
        <v>0.0</v>
      </c>
      <c r="H11" s="43">
        <v>0.0</v>
      </c>
      <c r="I11" s="43">
        <v>0.0</v>
      </c>
      <c r="J11" s="43">
        <v>0.0</v>
      </c>
      <c r="K11" s="43">
        <v>0.0</v>
      </c>
      <c r="L11" s="43">
        <v>0.0</v>
      </c>
      <c r="M11" s="43">
        <v>0.0</v>
      </c>
      <c r="N11" s="43">
        <v>0.0</v>
      </c>
      <c r="O11" s="43">
        <v>0.0</v>
      </c>
      <c r="P11" s="43">
        <v>0.0</v>
      </c>
      <c r="Q11" s="43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40" t="s">
        <v>136</v>
      </c>
      <c r="B12" s="41"/>
      <c r="C12" s="42"/>
      <c r="D12" s="42"/>
      <c r="E12" s="43">
        <f t="shared" ref="E12:P12" si="6">E10-E11</f>
        <v>0</v>
      </c>
      <c r="F12" s="43">
        <f t="shared" si="6"/>
        <v>5</v>
      </c>
      <c r="G12" s="43">
        <f t="shared" si="6"/>
        <v>6</v>
      </c>
      <c r="H12" s="43">
        <f t="shared" si="6"/>
        <v>6</v>
      </c>
      <c r="I12" s="43">
        <f t="shared" si="6"/>
        <v>6</v>
      </c>
      <c r="J12" s="43">
        <f t="shared" si="6"/>
        <v>8</v>
      </c>
      <c r="K12" s="43">
        <f t="shared" si="6"/>
        <v>0</v>
      </c>
      <c r="L12" s="43">
        <f t="shared" si="6"/>
        <v>0</v>
      </c>
      <c r="M12" s="43">
        <f t="shared" si="6"/>
        <v>0</v>
      </c>
      <c r="N12" s="43">
        <f t="shared" si="6"/>
        <v>0</v>
      </c>
      <c r="O12" s="43">
        <f t="shared" si="6"/>
        <v>0</v>
      </c>
      <c r="P12" s="43">
        <f t="shared" si="6"/>
        <v>0</v>
      </c>
      <c r="Q12" s="43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40" t="s">
        <v>129</v>
      </c>
      <c r="B13" s="41"/>
      <c r="C13" s="42"/>
      <c r="D13" s="42"/>
      <c r="E13" s="50">
        <f t="shared" ref="E13:P13" si="7">IF(E10&gt;0,E12/E10,0)</f>
        <v>0</v>
      </c>
      <c r="F13" s="50">
        <f t="shared" si="7"/>
        <v>1</v>
      </c>
      <c r="G13" s="50">
        <f t="shared" si="7"/>
        <v>1</v>
      </c>
      <c r="H13" s="50">
        <f t="shared" si="7"/>
        <v>1</v>
      </c>
      <c r="I13" s="50">
        <f t="shared" si="7"/>
        <v>1</v>
      </c>
      <c r="J13" s="50">
        <f t="shared" si="7"/>
        <v>1</v>
      </c>
      <c r="K13" s="50">
        <f t="shared" si="7"/>
        <v>0</v>
      </c>
      <c r="L13" s="50">
        <f t="shared" si="7"/>
        <v>0</v>
      </c>
      <c r="M13" s="50">
        <f t="shared" si="7"/>
        <v>0</v>
      </c>
      <c r="N13" s="50">
        <f t="shared" si="7"/>
        <v>0</v>
      </c>
      <c r="O13" s="50">
        <f t="shared" si="7"/>
        <v>0</v>
      </c>
      <c r="P13" s="50">
        <f t="shared" si="7"/>
        <v>0</v>
      </c>
      <c r="Q13" s="43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40" t="s">
        <v>137</v>
      </c>
      <c r="B14" s="41"/>
      <c r="C14" s="58" t="s">
        <v>138</v>
      </c>
      <c r="D14" s="42"/>
      <c r="E14" s="65">
        <f>E11*128.63</f>
        <v>771.78</v>
      </c>
      <c r="F14" s="65">
        <v>0.0</v>
      </c>
      <c r="G14" s="65">
        <v>0.0</v>
      </c>
      <c r="H14" s="65">
        <v>0.0</v>
      </c>
      <c r="I14" s="65">
        <v>0.0</v>
      </c>
      <c r="J14" s="65">
        <v>0.0</v>
      </c>
      <c r="K14" s="65">
        <v>0.0</v>
      </c>
      <c r="L14" s="65">
        <v>0.0</v>
      </c>
      <c r="M14" s="65">
        <v>0.0</v>
      </c>
      <c r="N14" s="65">
        <v>0.0</v>
      </c>
      <c r="O14" s="65">
        <v>0.0</v>
      </c>
      <c r="P14" s="65">
        <v>0.0</v>
      </c>
      <c r="Q14" s="43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10"/>
      <c r="B23" s="10"/>
      <c r="C23" s="10"/>
      <c r="D23" s="10"/>
      <c r="E23" s="10"/>
      <c r="F23" s="10"/>
      <c r="G23" s="10"/>
      <c r="H23" s="2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8:B8"/>
    <mergeCell ref="A9:B9"/>
    <mergeCell ref="A10:B10"/>
    <mergeCell ref="A11:B11"/>
    <mergeCell ref="A12:B12"/>
    <mergeCell ref="A13:B13"/>
    <mergeCell ref="A14:B14"/>
  </mergeCells>
  <dataValidations>
    <dataValidation type="list" allowBlank="1" showErrorMessage="1" sqref="D2">
      <formula1>"kWh,MWh,GJ,m3"</formula1>
    </dataValidation>
    <dataValidation type="list" allowBlank="1" showErrorMessage="1" sqref="B2">
      <formula1>"Aktiv Novostav s. r. o.,BURNING TECHNOLOGY a. s.,CITYBOX a. s.,INSMOR s. r. o.,VINTECO s. r. o.,výpočet"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29"/>
    <col customWidth="1" min="2" max="3" width="25.14"/>
    <col customWidth="1" min="4" max="4" width="10.0"/>
    <col customWidth="1" min="5" max="5" width="16.0"/>
    <col customWidth="1" min="6" max="13" width="13.29"/>
    <col customWidth="1" min="14" max="14" width="15.29"/>
    <col customWidth="1" min="15" max="15" width="18.14"/>
    <col customWidth="1" min="16" max="16" width="16.0"/>
    <col customWidth="1" min="17" max="17" width="13.29"/>
    <col customWidth="1" min="18" max="26" width="16.29"/>
  </cols>
  <sheetData>
    <row r="1" ht="13.5" customHeight="1">
      <c r="A1" s="55" t="s">
        <v>24</v>
      </c>
      <c r="B1" s="55" t="s">
        <v>25</v>
      </c>
      <c r="C1" s="55" t="s">
        <v>26</v>
      </c>
      <c r="D1" s="55" t="s">
        <v>27</v>
      </c>
      <c r="E1" s="56" t="str">
        <f>ELEKTRO!E1</f>
        <v>1. 1. 2026</v>
      </c>
      <c r="F1" s="56" t="str">
        <f>ELEKTRO!F1</f>
        <v>1. 2. 2026</v>
      </c>
      <c r="G1" s="56" t="str">
        <f>ELEKTRO!G1</f>
        <v>1. 3. 2026</v>
      </c>
      <c r="H1" s="56" t="str">
        <f>ELEKTRO!H1</f>
        <v>1. 4. 2026</v>
      </c>
      <c r="I1" s="56" t="str">
        <f>ELEKTRO!I1</f>
        <v>1. 5. 2026</v>
      </c>
      <c r="J1" s="56" t="str">
        <f>ELEKTRO!J1</f>
        <v>1. 6. 2026</v>
      </c>
      <c r="K1" s="56" t="str">
        <f>ELEKTRO!K1</f>
        <v>1. 7. 2026</v>
      </c>
      <c r="L1" s="56" t="str">
        <f>ELEKTRO!L1</f>
        <v>1. 8. 2026</v>
      </c>
      <c r="M1" s="56" t="str">
        <f>ELEKTRO!M1</f>
        <v>1. 9. 2026</v>
      </c>
      <c r="N1" s="56" t="str">
        <f>ELEKTRO!N1</f>
        <v>1. 10. 2026</v>
      </c>
      <c r="O1" s="56" t="str">
        <f>ELEKTRO!O1</f>
        <v>1. 11. 2026</v>
      </c>
      <c r="P1" s="56" t="str">
        <f>ELEKTRO!P1</f>
        <v>1. 12. 2026</v>
      </c>
      <c r="Q1" s="56" t="str">
        <f>ELEKTRO!Q1</f>
        <v>1. 1. 2027</v>
      </c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57" t="s">
        <v>139</v>
      </c>
      <c r="B2" s="57" t="s">
        <v>15</v>
      </c>
      <c r="C2" s="58" t="s">
        <v>140</v>
      </c>
      <c r="D2" s="58" t="s">
        <v>43</v>
      </c>
      <c r="E2" s="59">
        <v>288020.0</v>
      </c>
      <c r="F2" s="59">
        <v>288200.0</v>
      </c>
      <c r="G2" s="59">
        <v>288370.0</v>
      </c>
      <c r="H2" s="60">
        <v>288480.0</v>
      </c>
      <c r="I2" s="60">
        <v>288600.0</v>
      </c>
      <c r="J2" s="60">
        <v>288640.0</v>
      </c>
      <c r="K2" s="60">
        <v>288670.0</v>
      </c>
      <c r="L2" s="59">
        <v>0.0</v>
      </c>
      <c r="M2" s="59">
        <v>0.0</v>
      </c>
      <c r="N2" s="59">
        <v>0.0</v>
      </c>
      <c r="O2" s="59">
        <v>0.0</v>
      </c>
      <c r="P2" s="59">
        <v>0.0</v>
      </c>
      <c r="Q2" s="59">
        <v>0.0</v>
      </c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57" t="s">
        <v>141</v>
      </c>
      <c r="B3" s="57"/>
      <c r="C3" s="58" t="s">
        <v>142</v>
      </c>
      <c r="D3" s="58" t="s">
        <v>143</v>
      </c>
      <c r="E3" s="59">
        <v>0.0</v>
      </c>
      <c r="F3" s="59">
        <v>3150.0</v>
      </c>
      <c r="G3" s="59">
        <v>3150.0</v>
      </c>
      <c r="H3" s="60">
        <v>1950.0</v>
      </c>
      <c r="I3" s="60">
        <v>1000.0</v>
      </c>
      <c r="J3" s="60">
        <v>400.0</v>
      </c>
      <c r="K3" s="59">
        <v>0.0</v>
      </c>
      <c r="L3" s="59">
        <v>0.0</v>
      </c>
      <c r="M3" s="59">
        <v>0.0</v>
      </c>
      <c r="N3" s="59">
        <v>0.0</v>
      </c>
      <c r="O3" s="59">
        <v>0.0</v>
      </c>
      <c r="P3" s="59">
        <v>0.0</v>
      </c>
      <c r="Q3" s="59">
        <v>0.0</v>
      </c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20"/>
      <c r="B4" s="20" t="s">
        <v>144</v>
      </c>
      <c r="C4" s="20"/>
      <c r="D4" s="2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A5" s="20"/>
      <c r="B5" s="20"/>
      <c r="C5" s="20"/>
      <c r="D5" s="2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3.5" customHeight="1">
      <c r="A6" s="55" t="s">
        <v>105</v>
      </c>
      <c r="B6" s="55" t="s">
        <v>25</v>
      </c>
      <c r="C6" s="55" t="s">
        <v>26</v>
      </c>
      <c r="D6" s="55" t="s">
        <v>106</v>
      </c>
      <c r="E6" s="63">
        <v>44562.0</v>
      </c>
      <c r="F6" s="63">
        <v>44593.0</v>
      </c>
      <c r="G6" s="63">
        <v>44621.0</v>
      </c>
      <c r="H6" s="63">
        <v>44652.0</v>
      </c>
      <c r="I6" s="63">
        <v>44682.0</v>
      </c>
      <c r="J6" s="63">
        <v>44713.0</v>
      </c>
      <c r="K6" s="63">
        <v>44743.0</v>
      </c>
      <c r="L6" s="63">
        <v>44774.0</v>
      </c>
      <c r="M6" s="63">
        <v>44805.0</v>
      </c>
      <c r="N6" s="63">
        <v>44835.0</v>
      </c>
      <c r="O6" s="63">
        <v>44866.0</v>
      </c>
      <c r="P6" s="63">
        <v>44896.0</v>
      </c>
      <c r="Q6" s="64"/>
      <c r="R6" s="10"/>
      <c r="S6" s="10"/>
      <c r="T6" s="10"/>
      <c r="U6" s="10"/>
      <c r="V6" s="10"/>
      <c r="W6" s="10"/>
      <c r="X6" s="10"/>
      <c r="Y6" s="10"/>
      <c r="Z6" s="10"/>
    </row>
    <row r="7" ht="13.5" customHeight="1">
      <c r="A7" s="57" t="str">
        <f>$A2</f>
        <v>T_CELKEM</v>
      </c>
      <c r="B7" s="57" t="str">
        <f>B2</f>
        <v>výpočet</v>
      </c>
      <c r="C7" s="42"/>
      <c r="D7" s="42">
        <v>1.0</v>
      </c>
      <c r="E7" s="59">
        <f t="shared" ref="E7:F7" si="1">$D7*IF(F2=0,0,(F2-E2))</f>
        <v>180</v>
      </c>
      <c r="F7" s="59">
        <f t="shared" si="1"/>
        <v>170</v>
      </c>
      <c r="G7" s="60">
        <v>110.0</v>
      </c>
      <c r="H7" s="60">
        <v>110.0</v>
      </c>
      <c r="I7" s="60">
        <v>120.0</v>
      </c>
      <c r="J7" s="60">
        <v>0.0</v>
      </c>
      <c r="K7" s="60">
        <v>0.0</v>
      </c>
      <c r="L7" s="60">
        <v>0.0</v>
      </c>
      <c r="M7" s="60">
        <v>0.0</v>
      </c>
      <c r="N7" s="60">
        <v>0.0</v>
      </c>
      <c r="O7" s="60">
        <v>0.0</v>
      </c>
      <c r="P7" s="60">
        <v>0.0</v>
      </c>
      <c r="Q7" s="59"/>
      <c r="R7" s="10"/>
      <c r="S7" s="10"/>
      <c r="T7" s="10"/>
      <c r="U7" s="10"/>
      <c r="V7" s="10"/>
      <c r="W7" s="10"/>
      <c r="X7" s="10"/>
      <c r="Y7" s="10"/>
      <c r="Z7" s="10"/>
    </row>
    <row r="8" ht="13.5" customHeight="1">
      <c r="A8" s="57" t="str">
        <f>A3</f>
        <v>T_PELETY</v>
      </c>
      <c r="B8" s="61"/>
      <c r="C8" s="42"/>
      <c r="D8" s="42">
        <v>1.0</v>
      </c>
      <c r="E8" s="59">
        <f t="shared" ref="E8:P8" si="2">F3</f>
        <v>3150</v>
      </c>
      <c r="F8" s="59">
        <f t="shared" si="2"/>
        <v>3150</v>
      </c>
      <c r="G8" s="59">
        <f t="shared" si="2"/>
        <v>1950</v>
      </c>
      <c r="H8" s="59">
        <f t="shared" si="2"/>
        <v>1000</v>
      </c>
      <c r="I8" s="59">
        <f t="shared" si="2"/>
        <v>400</v>
      </c>
      <c r="J8" s="59">
        <f t="shared" si="2"/>
        <v>0</v>
      </c>
      <c r="K8" s="59">
        <f t="shared" si="2"/>
        <v>0</v>
      </c>
      <c r="L8" s="59">
        <f t="shared" si="2"/>
        <v>0</v>
      </c>
      <c r="M8" s="59">
        <f t="shared" si="2"/>
        <v>0</v>
      </c>
      <c r="N8" s="59">
        <f t="shared" si="2"/>
        <v>0</v>
      </c>
      <c r="O8" s="59">
        <f t="shared" si="2"/>
        <v>0</v>
      </c>
      <c r="P8" s="59">
        <f t="shared" si="2"/>
        <v>0</v>
      </c>
      <c r="Q8" s="66"/>
      <c r="R8" s="10"/>
      <c r="S8" s="10"/>
      <c r="T8" s="10"/>
      <c r="U8" s="10"/>
      <c r="V8" s="10"/>
      <c r="W8" s="10"/>
      <c r="X8" s="10"/>
      <c r="Y8" s="10"/>
      <c r="Z8" s="10"/>
    </row>
    <row r="9" ht="13.5" customHeight="1">
      <c r="A9" s="40" t="s">
        <v>124</v>
      </c>
      <c r="B9" s="41"/>
      <c r="C9" s="42"/>
      <c r="D9" s="42"/>
      <c r="E9" s="43">
        <f t="shared" ref="E9:P9" si="3">SUM(E7)</f>
        <v>180</v>
      </c>
      <c r="F9" s="43">
        <f t="shared" si="3"/>
        <v>170</v>
      </c>
      <c r="G9" s="43">
        <f t="shared" si="3"/>
        <v>110</v>
      </c>
      <c r="H9" s="43">
        <f t="shared" si="3"/>
        <v>110</v>
      </c>
      <c r="I9" s="43">
        <f t="shared" si="3"/>
        <v>120</v>
      </c>
      <c r="J9" s="43">
        <f t="shared" si="3"/>
        <v>0</v>
      </c>
      <c r="K9" s="43">
        <f t="shared" si="3"/>
        <v>0</v>
      </c>
      <c r="L9" s="43">
        <f t="shared" si="3"/>
        <v>0</v>
      </c>
      <c r="M9" s="43">
        <f t="shared" si="3"/>
        <v>0</v>
      </c>
      <c r="N9" s="43">
        <f t="shared" si="3"/>
        <v>0</v>
      </c>
      <c r="O9" s="43">
        <f t="shared" si="3"/>
        <v>0</v>
      </c>
      <c r="P9" s="43">
        <f t="shared" si="3"/>
        <v>0</v>
      </c>
      <c r="Q9" s="43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44"/>
      <c r="B10" s="41"/>
      <c r="C10" s="42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>
      <c r="A11" s="40" t="s">
        <v>145</v>
      </c>
      <c r="B11" s="41"/>
      <c r="C11" s="42"/>
      <c r="D11" s="42"/>
      <c r="E11" s="43">
        <f t="shared" ref="E11:P11" si="4">E9</f>
        <v>180</v>
      </c>
      <c r="F11" s="43">
        <f t="shared" si="4"/>
        <v>170</v>
      </c>
      <c r="G11" s="43">
        <f t="shared" si="4"/>
        <v>110</v>
      </c>
      <c r="H11" s="43">
        <f t="shared" si="4"/>
        <v>110</v>
      </c>
      <c r="I11" s="43">
        <f t="shared" si="4"/>
        <v>120</v>
      </c>
      <c r="J11" s="43">
        <f t="shared" si="4"/>
        <v>0</v>
      </c>
      <c r="K11" s="43">
        <f t="shared" si="4"/>
        <v>0</v>
      </c>
      <c r="L11" s="43">
        <f t="shared" si="4"/>
        <v>0</v>
      </c>
      <c r="M11" s="43">
        <f t="shared" si="4"/>
        <v>0</v>
      </c>
      <c r="N11" s="43">
        <f t="shared" si="4"/>
        <v>0</v>
      </c>
      <c r="O11" s="43">
        <f t="shared" si="4"/>
        <v>0</v>
      </c>
      <c r="P11" s="43">
        <f t="shared" si="4"/>
        <v>0</v>
      </c>
      <c r="Q11" s="43"/>
      <c r="R11" s="10"/>
      <c r="S11" s="10"/>
      <c r="T11" s="10"/>
      <c r="U11" s="10"/>
      <c r="V11" s="10"/>
      <c r="W11" s="10"/>
      <c r="X11" s="10"/>
      <c r="Y11" s="10"/>
      <c r="Z11" s="10"/>
    </row>
    <row r="12" ht="13.5" customHeight="1">
      <c r="A12" s="40" t="s">
        <v>146</v>
      </c>
      <c r="B12" s="41"/>
      <c r="C12" s="42"/>
      <c r="D12" s="42"/>
      <c r="E12" s="43">
        <f t="shared" ref="E12:P12" si="5">E11*1.04</f>
        <v>187.2</v>
      </c>
      <c r="F12" s="43">
        <f t="shared" si="5"/>
        <v>176.8</v>
      </c>
      <c r="G12" s="43">
        <f t="shared" si="5"/>
        <v>114.4</v>
      </c>
      <c r="H12" s="43">
        <f t="shared" si="5"/>
        <v>114.4</v>
      </c>
      <c r="I12" s="43">
        <f t="shared" si="5"/>
        <v>124.8</v>
      </c>
      <c r="J12" s="43">
        <f t="shared" si="5"/>
        <v>0</v>
      </c>
      <c r="K12" s="43">
        <f t="shared" si="5"/>
        <v>0</v>
      </c>
      <c r="L12" s="43">
        <f t="shared" si="5"/>
        <v>0</v>
      </c>
      <c r="M12" s="43">
        <f t="shared" si="5"/>
        <v>0</v>
      </c>
      <c r="N12" s="43">
        <f t="shared" si="5"/>
        <v>0</v>
      </c>
      <c r="O12" s="43">
        <f t="shared" si="5"/>
        <v>0</v>
      </c>
      <c r="P12" s="43">
        <f t="shared" si="5"/>
        <v>0</v>
      </c>
      <c r="Q12" s="43"/>
      <c r="R12" s="10"/>
      <c r="S12" s="10"/>
      <c r="T12" s="10"/>
      <c r="U12" s="10"/>
      <c r="V12" s="10"/>
      <c r="W12" s="10"/>
      <c r="X12" s="10"/>
      <c r="Y12" s="10"/>
      <c r="Z12" s="10"/>
    </row>
    <row r="13" ht="13.5" customHeight="1">
      <c r="A13" s="40" t="s">
        <v>147</v>
      </c>
      <c r="B13" s="41"/>
      <c r="C13" s="42"/>
      <c r="D13" s="42"/>
      <c r="E13" s="67">
        <f>ELEKTRO!E80</f>
        <v>7.138522954</v>
      </c>
      <c r="F13" s="67">
        <f>ELEKTRO!F80</f>
        <v>6.798866856</v>
      </c>
      <c r="G13" s="67">
        <f>ELEKTRO!G80</f>
        <v>7.154749745</v>
      </c>
      <c r="H13" s="67">
        <f>ELEKTRO!H80</f>
        <v>5.942607973</v>
      </c>
      <c r="I13" s="67">
        <f>ELEKTRO!I80</f>
        <v>6.171041379</v>
      </c>
      <c r="J13" s="67">
        <f>ELEKTRO!J80</f>
        <v>6.229994176</v>
      </c>
      <c r="K13" s="67">
        <f>ELEKTRO!K80</f>
        <v>0</v>
      </c>
      <c r="L13" s="67">
        <f>ELEKTRO!L80</f>
        <v>0</v>
      </c>
      <c r="M13" s="67">
        <f>ELEKTRO!M80</f>
        <v>0</v>
      </c>
      <c r="N13" s="67">
        <f>ELEKTRO!N80</f>
        <v>0</v>
      </c>
      <c r="O13" s="67">
        <f>ELEKTRO!O80</f>
        <v>0</v>
      </c>
      <c r="P13" s="67">
        <f>ELEKTRO!P80</f>
        <v>0</v>
      </c>
      <c r="Q13" s="43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40" t="s">
        <v>148</v>
      </c>
      <c r="B14" s="41"/>
      <c r="C14" s="42"/>
      <c r="D14" s="42"/>
      <c r="E14" s="68">
        <v>10.89</v>
      </c>
      <c r="F14" s="68">
        <v>10.89</v>
      </c>
      <c r="G14" s="68">
        <v>10.89</v>
      </c>
      <c r="H14" s="68">
        <v>10.89</v>
      </c>
      <c r="I14" s="68">
        <v>10.89</v>
      </c>
      <c r="J14" s="43"/>
      <c r="K14" s="43"/>
      <c r="L14" s="43"/>
      <c r="M14" s="43"/>
      <c r="N14" s="43"/>
      <c r="O14" s="43"/>
      <c r="P14" s="43"/>
      <c r="Q14" s="43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40" t="s">
        <v>149</v>
      </c>
      <c r="B15" s="41"/>
      <c r="C15" s="42"/>
      <c r="D15" s="42"/>
      <c r="E15" s="68">
        <f t="shared" ref="E15:P15" si="6">E8*E14</f>
        <v>34303.5</v>
      </c>
      <c r="F15" s="68">
        <f t="shared" si="6"/>
        <v>34303.5</v>
      </c>
      <c r="G15" s="68">
        <f t="shared" si="6"/>
        <v>21235.5</v>
      </c>
      <c r="H15" s="68">
        <f t="shared" si="6"/>
        <v>10890</v>
      </c>
      <c r="I15" s="68">
        <f t="shared" si="6"/>
        <v>4356</v>
      </c>
      <c r="J15" s="68">
        <f t="shared" si="6"/>
        <v>0</v>
      </c>
      <c r="K15" s="68">
        <f t="shared" si="6"/>
        <v>0</v>
      </c>
      <c r="L15" s="68">
        <f t="shared" si="6"/>
        <v>0</v>
      </c>
      <c r="M15" s="68">
        <f t="shared" si="6"/>
        <v>0</v>
      </c>
      <c r="N15" s="68">
        <f t="shared" si="6"/>
        <v>0</v>
      </c>
      <c r="O15" s="68">
        <f t="shared" si="6"/>
        <v>0</v>
      </c>
      <c r="P15" s="68">
        <f t="shared" si="6"/>
        <v>0</v>
      </c>
      <c r="Q15" s="43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40" t="s">
        <v>150</v>
      </c>
      <c r="B16" s="41"/>
      <c r="C16" s="42"/>
      <c r="D16" s="42"/>
      <c r="E16" s="68">
        <f>(E12*ELEKTRO!E80)+E15</f>
        <v>35639.8315</v>
      </c>
      <c r="F16" s="68">
        <f>(F12*ELEKTRO!F80)+F15</f>
        <v>35505.53966</v>
      </c>
      <c r="G16" s="68">
        <f>(G12*ELEKTRO!G80)+G15</f>
        <v>22054.00337</v>
      </c>
      <c r="H16" s="68">
        <f>(H12*ELEKTRO!H80)+H15</f>
        <v>11569.83435</v>
      </c>
      <c r="I16" s="68">
        <f>(I12*ELEKTRO!I80)+I15</f>
        <v>5126.145964</v>
      </c>
      <c r="J16" s="68">
        <f>(J12*ELEKTRO!J80)+J15</f>
        <v>0</v>
      </c>
      <c r="K16" s="68">
        <f>(K12*ELEKTRO!K80)+K15</f>
        <v>0</v>
      </c>
      <c r="L16" s="68">
        <f>(L12*ELEKTRO!L80)+L15</f>
        <v>0</v>
      </c>
      <c r="M16" s="68">
        <f>(M12*ELEKTRO!M80)+M15</f>
        <v>0</v>
      </c>
      <c r="N16" s="68">
        <f>(N12*ELEKTRO!N80)+N15</f>
        <v>0</v>
      </c>
      <c r="O16" s="68">
        <f>(O12*ELEKTRO!O80)+O15</f>
        <v>0</v>
      </c>
      <c r="P16" s="68">
        <f>(P12*ELEKTRO!P80)+P15</f>
        <v>0</v>
      </c>
      <c r="Q16" s="43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10"/>
      <c r="B20" s="10"/>
      <c r="C20" s="10"/>
      <c r="D20" s="10"/>
      <c r="E20" s="54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3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3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3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3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3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3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3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3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3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3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3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3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3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3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3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3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3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3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3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3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3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3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3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3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3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3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3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3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3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3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3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3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3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3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3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3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3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3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3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3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3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3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3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3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3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3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3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3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3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3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3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3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3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3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3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3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3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3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3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3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3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3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3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3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3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3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3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3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3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3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3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3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3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3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3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3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3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3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3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3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3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3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3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3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3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3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3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3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3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3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3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3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3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3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3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3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3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3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3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3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3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3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3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3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3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3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3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3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3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3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3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3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3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3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3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3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3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3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3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3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3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3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3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3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3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3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A9:B9"/>
    <mergeCell ref="A10:B10"/>
    <mergeCell ref="A11:B11"/>
    <mergeCell ref="A12:B12"/>
    <mergeCell ref="A13:B13"/>
    <mergeCell ref="A14:B14"/>
    <mergeCell ref="A15:B15"/>
    <mergeCell ref="A16:B16"/>
  </mergeCells>
  <dataValidations>
    <dataValidation type="list" allowBlank="1" showErrorMessage="1" sqref="D2">
      <formula1>"kWh,MWh,GJ,m3"</formula1>
    </dataValidation>
    <dataValidation type="list" allowBlank="1" showErrorMessage="1" sqref="B2:B3">
      <formula1>"Aktiv Novostav s. r. o.,BURNING TECHNOLOGY a. s.,CITYBOX a. s.,INSMOR s. r. o.,VINTECO s. r. o.,výpočet"</formula1>
    </dataValidation>
    <dataValidation type="list" allowBlank="1" showErrorMessage="1" sqref="D3">
      <formula1>"kWh,MWh,GJ,m3,kg"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86"/>
    <col customWidth="1" min="2" max="26" width="16.29"/>
  </cols>
  <sheetData>
    <row r="1" ht="27.75" customHeight="1">
      <c r="A1" s="69" t="s">
        <v>151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70"/>
      <c r="B2" s="1" t="s">
        <v>152</v>
      </c>
      <c r="C2" s="1" t="s">
        <v>153</v>
      </c>
      <c r="D2" s="1" t="s">
        <v>154</v>
      </c>
      <c r="E2" s="1" t="s">
        <v>155</v>
      </c>
      <c r="F2" s="71" t="s">
        <v>143</v>
      </c>
      <c r="G2" s="71" t="s">
        <v>156</v>
      </c>
      <c r="H2" s="71" t="s">
        <v>149</v>
      </c>
      <c r="I2" s="71" t="s">
        <v>157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72" t="s">
        <v>158</v>
      </c>
      <c r="B3" s="6">
        <v>26.0</v>
      </c>
      <c r="C3" s="73">
        <v>0.0</v>
      </c>
      <c r="D3" s="73">
        <v>0.0</v>
      </c>
      <c r="E3" s="74">
        <f>C3*D3</f>
        <v>0</v>
      </c>
      <c r="F3" s="73">
        <v>400.0</v>
      </c>
      <c r="G3" s="75">
        <v>10.89</v>
      </c>
      <c r="H3" s="76">
        <f>F3*G3</f>
        <v>4356</v>
      </c>
      <c r="I3" s="76">
        <f>H3+E3</f>
        <v>4356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77"/>
      <c r="B4" s="6"/>
      <c r="C4" s="6"/>
      <c r="D4" s="6"/>
      <c r="E4" s="78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79" t="s">
        <v>159</v>
      </c>
      <c r="B5" s="6">
        <v>10.0</v>
      </c>
      <c r="C5" s="80">
        <f>$B5/$B3*C3</f>
        <v>0</v>
      </c>
      <c r="D5" s="78"/>
      <c r="E5" s="81">
        <f t="shared" ref="E5:E6" si="1">C5*$D$3</f>
        <v>0</v>
      </c>
      <c r="F5" s="80">
        <f>$B5/$B3*F3</f>
        <v>153.8461538</v>
      </c>
      <c r="G5" s="6"/>
      <c r="H5" s="76">
        <f t="shared" ref="H5:H6" si="2">F5*$G$3</f>
        <v>1675.384615</v>
      </c>
      <c r="I5" s="76">
        <f t="shared" ref="I5:I6" si="3">H5+E5</f>
        <v>1675.384615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79" t="s">
        <v>160</v>
      </c>
      <c r="B6" s="6">
        <v>16.0</v>
      </c>
      <c r="C6" s="80">
        <f>$B6/$B3*C3</f>
        <v>0</v>
      </c>
      <c r="D6" s="78"/>
      <c r="E6" s="81">
        <f t="shared" si="1"/>
        <v>0</v>
      </c>
      <c r="F6" s="80">
        <f>$B6/$B3*F3</f>
        <v>246.1538462</v>
      </c>
      <c r="G6" s="6"/>
      <c r="H6" s="76">
        <f t="shared" si="2"/>
        <v>2680.615385</v>
      </c>
      <c r="I6" s="76">
        <f t="shared" si="3"/>
        <v>2680.615385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